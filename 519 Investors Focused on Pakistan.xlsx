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SC\Downloads\"/>
    </mc:Choice>
  </mc:AlternateContent>
  <bookViews>
    <workbookView xWindow="0" yWindow="0" windowWidth="20490" windowHeight="6750" activeTab="1"/>
  </bookViews>
  <sheets>
    <sheet name="519 Investors Focused on Pakist" sheetId="1" r:id="rId1"/>
    <sheet name="Other Investor Lists" sheetId="2" r:id="rId2"/>
  </sheets>
  <calcPr calcId="162913"/>
</workbook>
</file>

<file path=xl/calcChain.xml><?xml version="1.0" encoding="utf-8"?>
<calcChain xmlns="http://schemas.openxmlformats.org/spreadsheetml/2006/main">
  <c r="A195" i="2" l="1"/>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<sst xmlns="http://schemas.openxmlformats.org/spreadsheetml/2006/main" count="8386" uniqueCount="5144">
  <si>
    <t>Profile</t>
  </si>
  <si>
    <t>Investor</t>
  </si>
  <si>
    <t>Type</t>
  </si>
  <si>
    <t>Address</t>
  </si>
  <si>
    <t>City</t>
  </si>
  <si>
    <t>Country</t>
  </si>
  <si>
    <t>Website</t>
  </si>
  <si>
    <t>LinkedIn</t>
  </si>
  <si>
    <t>ContactEmail</t>
  </si>
  <si>
    <t>ContactPhone</t>
  </si>
  <si>
    <t>Description</t>
  </si>
  <si>
    <t>YearFounded</t>
  </si>
  <si>
    <t>Stages</t>
  </si>
  <si>
    <t>AssetClass</t>
  </si>
  <si>
    <t>IndustryFocus</t>
  </si>
  <si>
    <t>GeographicalFocus</t>
  </si>
  <si>
    <t>Requirements</t>
  </si>
  <si>
    <t>PortfolioCompanies</t>
  </si>
  <si>
    <t>Shorooq Partners</t>
  </si>
  <si>
    <t>Venture Capital</t>
  </si>
  <si>
    <t>Al Sarab Tower, ADGM Square, Al Falah Street, Abu Dhabi</t>
  </si>
  <si>
    <t>Abu Dhabi</t>
  </si>
  <si>
    <t>AE</t>
  </si>
  <si>
    <t>https://www.shorooq.com</t>
  </si>
  <si>
    <t>https://www.linkedin.com/company/shorooqpartners</t>
  </si>
  <si>
    <t>info@shorooq.com</t>
  </si>
  <si>
    <t>+971 2 444 4444</t>
  </si>
  <si>
    <t>Shorooq Partners, founded in 2017, is a prominent venture capital firm headquartered in Abu Dhabi, United Arab Emirates. The firm specializes in early-stage investments, focusing on sectors such as fintech, software, platforms, gaming, and Web3.0 technologies. Over the years, Shorooq Partners has expanded its assets under management from $2 million to approximately half a billion dollars, reflecting its significant growth and influence in the regional investment landscape. The firm's portfolio includes notable companies like Pure Harvest Smart Farms, NymCard, Tamara, Sarwa, Lean Technologies, TruKKer, Mozn, and Lendo. Shorooq Partners operates across multiple countries, including the United Arab Emirates, Saudi Arabia, Egypt, Turkey, South Korea, Pakistan, and others, demonstrating its extensive geographical reach and commitment to fostering innovation in the MENA region. The firm's investment strategy encompasses various stages, from pre-seed to growth and late-stage funding, and includes both venture capital and private equity investments. Shorooq Partners is recognized for its active role in supporting and scaling technology startups, contributing to the dynamic growth of the regional tech ecosystem.</t>
  </si>
  <si>
    <t>Pre-Seed, Seed, Early Stage, Series A, Series B, Growth, Late Stage, Pre-IPO, Buyout, Turnaround, Distressed</t>
  </si>
  <si>
    <t>Venture Capital, Private Equity, Real Estate, Hedge Funds, Commodities, Crypto, ESG and Impact Investing, Fixed Income (Debt and Bonds), Infrastructure, Collectibles &amp; Art, Distressed and Special Situations, Debt Investor</t>
  </si>
  <si>
    <t>Technology, Healthcare, Energy, Media, Software, Education, Agriculture, HealthTech, EdTech, FinTech, E-commerce, Cryptocurrency, Logistics, Digital Assets, Gaming, Web3.0, Climate, AgriTech, Proptech, Platform, B2B Deep Tech, Contents &amp; Entertainment, Bio-Tech, Blockchain Applications, TravelTech, Telecom</t>
  </si>
  <si>
    <t>United States, United Kingdom, Hong Kong, India, United Arab Emirates, Kenya, South Korea, Saudi Arabia, Qatar, Kuwait, Oman, Egypt, Tunisia, Libya, Morocco, Algeria, Lebanon, Bahrain, Turkey, Pakistan, Jordan, Bangladesh, Somalia, Iraq, Palestine, Sudan, Djibouti, Mauritania, Yemen, Syria, Comoros, Sao Tome and Principe, Western Sahara, Gaza Strip, West Bank, Golan Heights, Sinai Peninsula</t>
  </si>
  <si>
    <t>Technology-focused startups, Early-stage companies, Strong founding teams, Scalable business models, Innovative startups in fintech, software, platforms, and digital assets, Early-stage companies seeking non-dilutive financing solutions, Startups with a strong growth trajectory and scalable business models, Innovative technology solutions, Market leadership potential, Alignment with regional market needs</t>
  </si>
  <si>
    <t>Pure Harvest Smart Farms, NymCard, Tamara, Sarwa, Lean Technologies, TruKKer, Mozn, Lendo, Capiter, Retailo, Airlift, Aumet, Breadfast, Prypco, Roamless, Qlub, Nawy, Halo AI, Mantra, Abhi, The Box, Octane</t>
  </si>
  <si>
    <t>Khalifa Bin Zayed Al Nahyan Foundation</t>
  </si>
  <si>
    <t>Charitable Foundation</t>
  </si>
  <si>
    <t>Al Khalidya, Intersection Mubarak bin Mohammed St and Zayed The First St, Abu Dhabi, P.O. Box: 28</t>
  </si>
  <si>
    <t>https://www.khalifafoundation.ae/en/home</t>
  </si>
  <si>
    <t/>
  </si>
  <si>
    <t>info@khalifafoundation.ae</t>
  </si>
  <si>
    <t>The Khalifa Bin Zayed Al Nahyan Foundation, established in July 2007 by His Highness Sheikh Khalifa Bin Zayed Al Nahyan, President of the United Arab Emirates, focuses on health and education initiatives both domestically and internationally. The Foundation's vision is 'Pioneering Initiatives in the Service of Humanity,' and its strategies include supporting vocational educational projects, addressing health needs related to malnutrition, child protection, and providing safe water globally. Since its inception, the Foundation has extended assistance to more than 87 countries, implementing projects such as building hospitals, schools, and infrastructure to support underprivileged communities. Notable initiatives include the construction of the Sheikh Zayed bin Sultan Al Nahyan Bridge in Pakistan and the establishment of the Emirates Hospital in Pakistan. The Foundation also collaborates with international organizations to provide humanitarian aid and development assistance worldwide.</t>
  </si>
  <si>
    <t>Infrastructure, Education, Health, Humanitarian Aid</t>
  </si>
  <si>
    <t>United States, France, United Arab Emirates, Spain, Indonesia, Lebanon, Pakistan, Somalia</t>
  </si>
  <si>
    <t>Arzan Venture Capital</t>
  </si>
  <si>
    <t>Ahmad Al Jaber St., Kuwait City</t>
  </si>
  <si>
    <t>Kuwait</t>
  </si>
  <si>
    <t>KW</t>
  </si>
  <si>
    <t>https://arzanvc.com/</t>
  </si>
  <si>
    <t>https://www.linkedin.com/company/arzanvc</t>
  </si>
  <si>
    <t>info@arzanvc.com</t>
  </si>
  <si>
    <t>+965 2220 3021</t>
  </si>
  <si>
    <t>Arzan Venture Capital, established in 2014, is a Kuwait-based venture capital firm that focuses on investing in early-stage technology companies across the MENA region. The firm primarily targets seed and Series A funding rounds, emphasizing sectors such as internet and mobile applications for both consumer and enterprise markets. Arzan VC operates with a regional focus, aiming to support and scale innovative startups within the Middle East and North Africa.  The firm's investment strategy is centered on identifying and nurturing high-potential startups that demonstrate scalability and innovation. By providing capital and strategic guidance, Arzan VC seeks to empower entrepreneurs to transform their ideas into successful businesses. The team comprises professionals with extensive experience in investment, technology, and entrepreneurship, bringing a combined local and global perspective to their portfolio companies.  Arzan VC's portfolio includes companies like FittiCoin, a developer of a platform that encourages physical activity through a mobile app that converts steps into coins, and Klaim, an AI-enabled SaaS platform transforming healthcare billing and processing. These investments reflect the firm's commitment to fostering growth and innovation in the technology sector across the MENA region.</t>
  </si>
  <si>
    <t>Pre-Seed, Seed, Early Stage, Series A, Series B</t>
  </si>
  <si>
    <t>Technology, Media, Consumer, HealthTech, EdTech, FinTech, E-commerce, Logistics, Gaming, Entertainment, Internet, Agtech, Proptech, Mobile, Enterprise</t>
  </si>
  <si>
    <t>United Arab Emirates, Saudi Arabia, Qatar, Kuwait, Oman, Egypt, Tunisia, Libya, Morocco, Algeria, Lebanon, Bahrain, Pakistan, Jordan, Somalia, Iraq, Palestine, Djibouti, Mauritania, Syria, Comoros</t>
  </si>
  <si>
    <t>Innovative technology startups, Early-stage companies, Scalable business models, Strong management teams, Innovative technology solutions, Strong founding teams, Market potential within the MENA region, Clear path to profitability</t>
  </si>
  <si>
    <t>Hulexo, HALA, MoneyFellows, Nearpay, Khazenly, FittiCoin, Klaim</t>
  </si>
  <si>
    <t>VentureSouq</t>
  </si>
  <si>
    <t>OneJLT Building, Second Floor, Dubai</t>
  </si>
  <si>
    <t>https://www.venturesouq.com/</t>
  </si>
  <si>
    <t>https://www.linkedin.com/company/venturesouq/</t>
  </si>
  <si>
    <t>info@venturesouq.com</t>
  </si>
  <si>
    <t>+971 56 2223915</t>
  </si>
  <si>
    <t>VentureSouq is a venture capital firm based in the Middle East and North Africa (MENA) region, focusing on early-stage technology companies. The firm manages thematic funds with a current emphasis on FinTech and ClimateTech, aiming to partner with exceptional entrepreneurs to create long-term impact. Their investment approach is thesis-driven, targeting sectors that align with their strategic focus.  The firm's investment strategy encompasses various stages, including Seed, Series A, Series B, Growth, Late Stage, and Pre-IPO. Geographically, VentureSouq concentrates on the MENA region, with a particular focus on countries such as the United Arab Emirates, Saudi Arabia, Egypt, Jordan, Lebanon, Kuwait, Qatar, Bahrain, Oman, Morocco, Algeria, Tunisia, Libya, Iraq, Syria, Yemen, Palestine, Mauritania, Somalia, and Djibouti. This regional focus allows them to leverage local market knowledge and networks to support portfolio companies effectively.  VentureSouq's portfolio spans a diverse range of industries, including FinTech, ClimateTech, Digital Media, EdTech, EnvironmentalTech, AI, BioTech, Consumer Goods, Healthcare, E-commerce, Logistics, Agriculture, Energy, Transportation, and Real Estate. This broad industry focus enables the firm to identify and invest in innovative companies across various sectors, fostering growth and development within the MENA region's dynamic startup ecosystem.</t>
  </si>
  <si>
    <t>Seed, Early Stage, Series A, Series B, Growth, Late Stage, Pre-IPO</t>
  </si>
  <si>
    <t>Technology, Healthcare, Energy, Consumer Goods, Real Estate, Banking, Asset Management, Credit, Agriculture, HealthTech, FoodTech, EdTech, FinTech, E-commerce, Cryptocurrency, Logistics, SaaS, Transportation, Digital Media, InsurTech, Biotech, Agtech, Proptech, ClimateTech, Personal Financial Management, Circular Economy, AI, Energy Storage, Lending, Payments, Real Estate Technology, Compliance, Supply Chain Tech, Carbon Energy Tech, Environment Tech, EnvironmentalTech</t>
  </si>
  <si>
    <t>United States, United Kingdom, Germany, Japan, Australia, China, India, Brazil, France, United Arab Emirates, Mexico, South Korea, Saudi Arabia, Qatar, Kuwait, Oman, Egypt, Tunisia, Libya, Morocco, Algeria, Lebanon, Bahrain, Pakistan, Jordan, Somalia, Iraq, Palestine, Djibouti, Mauritania, Yemen, Syria</t>
  </si>
  <si>
    <t>Strong founding team, Innovative business model, Scalable technology, Market traction, Early-stage technology companies in FinTech and ClimateTech sectors, Innovative technology solutions, Scalable business models, Strong founding teams, Alignment with FinTech or ClimateTech themes</t>
  </si>
  <si>
    <t>Tabby, Sary, Baraka, Creditbook, Huspy, Proteinea, Floward, Eyewa, Opontia, Paymob, Snoonu, Careem, Souq.com, Fetchr, Property Finder, Yallacompare, Anghami, JadoPado, The Luxury Closet, Bayzat, Yalla Group</t>
  </si>
  <si>
    <t>Global Ventures</t>
  </si>
  <si>
    <t>6 Falak Building, Dubai Internet City, P.O. Box 500660</t>
  </si>
  <si>
    <t>Dubai</t>
  </si>
  <si>
    <t>https://www.global.vc/</t>
  </si>
  <si>
    <t>https://www.linkedin.com/company/global-ventures-vc/</t>
  </si>
  <si>
    <t>info@global.vc</t>
  </si>
  <si>
    <t>Global Ventures is a Dubai-based venture capital firm founded in 2018, focusing on early-stage investments in growth companies across the Middle East and Africa. The firm targets globally scalable enterprise technology companies, investing in low-valuation markets and enabling the scale-up of young companies into global markets, thereby realizing multiple expansion as well as revenue growth. The region’s young venture industry capitalizes on the youth bulge in the regional population, where 50% of the 400 million population is under 25 years old, as well as the highest digital penetration and social media usage globally, on a per capita basis. In particular, Dubai has become an innovation hub in emerging markets, with access to 3 billion people in a 6-hour flight radius, serving half of the world’s economies, and specifically the rising billion. Global Ventures leverages the youth demographic, access to talent, and low valuation multiples to identify high-potential, globally scalable companies and enable their expansion through active and strategic investments into the companies.</t>
  </si>
  <si>
    <t>Seed, Series A, Series B, Growth</t>
  </si>
  <si>
    <t>Agriculture, HealthTech, EdTech, FinTech, E-commerce, InsurTech, Cybersecurity, Supply Chain &amp; Logistics</t>
  </si>
  <si>
    <t>United States, United Kingdom, Singapore, United Arab Emirates, Switzerland, Kenya, Saudi Arabia, Egypt, Pakistan, Nigeria, Rwanda</t>
  </si>
  <si>
    <t>Revenue-generating, Scalable, Capital-efficient, Clearly planned path to exit</t>
  </si>
  <si>
    <t>Paymob, Cartona, Iyris, Maalexi, Hakbah, Immensa, DRU, Democrance, FoldHealth, Helium Health</t>
  </si>
  <si>
    <t>Nuwa Capital</t>
  </si>
  <si>
    <t>Dubai International Financial Centre, Dubai, United Arab Emirates</t>
  </si>
  <si>
    <t>https://www.nuwacapital.io</t>
  </si>
  <si>
    <t>https://www.linkedin.com/company/nuwa-capital</t>
  </si>
  <si>
    <t>info@nuwacapital.io</t>
  </si>
  <si>
    <t>Nuwa Capital is a venture capital firm established in 2020, headquartered in Dubai, United Arab Emirates. The firm focuses on early-stage investments in technology-driven startups across the Middle East and North Africa region. Nuwa Capital emphasizes building long-term partnerships with founders and has a portfolio that includes companies in sectors such as fintech, healthtech, and e-commerce. The firm operates primarily in the Middle East and North Africa (MENA) region and supports companies through various stages of their growth. Notable investments include ClearGrid, Muwazana, Butterfly Foods, Calo, Eyewa, and Homzmart.</t>
  </si>
  <si>
    <t>Seed, Series A, Series B</t>
  </si>
  <si>
    <t>HealthTech, EdTech, FinTech, E-commerce, Agtech, Direct-to-Consumer Brands, SaaS/Software, B2B/Enterprise</t>
  </si>
  <si>
    <t>Singapore, United Arab Emirates, Kenya, Saudi Arabia, Egypt, Turkey, Pakistan</t>
  </si>
  <si>
    <t>ClearGrid, Muwazana, Butterfly Foods, Calo, Eyewa, Homzmart</t>
  </si>
  <si>
    <t>COTU Ventures</t>
  </si>
  <si>
    <t>Dubai, United Arab Emirates</t>
  </si>
  <si>
    <t>https://www.cotu.vc/</t>
  </si>
  <si>
    <t>https://www.linkedin.com/company/cotu-ventures/</t>
  </si>
  <si>
    <t>info@cotu.vc</t>
  </si>
  <si>
    <t>COTU Ventures is a Dubai-based early-stage venture capital firm founded in 2021 by Amir Farha. The firm focuses on investing in pre-seed and seed-stage startups across the Middle East and North Africa (MENA) region, particularly in the United Arab Emirates, Saudi Arabia, Egypt, and Pakistan. COTU Ventures aims to support founders from the inception of their ideas through post-product launch, providing initial investments ranging from $500,000 to $2 million, with reserved capital for follow-on investments.  The firm maintains a sector-agnostic approach but shows a particular interest in fintech and B2B software. Notable investments include Huspy, a UAE-based mortgage platform, and MoneyHash, an Egyptian fintech startup. COTU Ventures emphasizes building deep relationships with founders, offering strategic guidance on fundraising, organizational development, and go-to-market strategies, as well as facilitating introductions to key stakeholders such as customers, hires, and potential follow-on investors.</t>
  </si>
  <si>
    <t>Pre-Seed, Seed</t>
  </si>
  <si>
    <t>EdTech, FinTech, Proptech, B2B Software</t>
  </si>
  <si>
    <t>United Arab Emirates, Saudi Arabia, Egypt, Pakistan</t>
  </si>
  <si>
    <t>Innovative business model, Scalable market potential, Strong founding team</t>
  </si>
  <si>
    <t>Huspy, MoneyHash, Supy, Sirdab</t>
  </si>
  <si>
    <t>Jabbar Internet Group</t>
  </si>
  <si>
    <t>http://www.jabbar.com</t>
  </si>
  <si>
    <t>https://www.linkedin.com/company/jabbar-internet-group</t>
  </si>
  <si>
    <t>info@jabbar.com</t>
  </si>
  <si>
    <t>Jabbar Internet Group is a Dubai-based venture capital firm specializing in investments in technology and internet-based companies across the Middle East and beyond. Founded by the creators of Maktoob.com, the first Arabic/English web-based email service, Jabbar has a rich history of fostering successful startups in the region. The firm's portfolio includes notable investments such as Souq.com, which was acquired by Amazon in 2017, and Maktoob, acquired by Yahoo in 2009. Jabbar continues to support innovative companies like Arzooo, GrocerApp, and Blueground, demonstrating its commitment to driving technological advancement and entrepreneurship.</t>
  </si>
  <si>
    <t>Seed, Early Stage, Series A</t>
  </si>
  <si>
    <t>Technology, Retail, E-commerce, Hospitality</t>
  </si>
  <si>
    <t>United States, India, United Arab Emirates, Pakistan</t>
  </si>
  <si>
    <t>Innovative technology solutions, Scalable business models, Strong management teams</t>
  </si>
  <si>
    <t>Arzooo, GrocerApp, Blueground, eZhire, POSRocket</t>
  </si>
  <si>
    <t>Fikra Ventures</t>
  </si>
  <si>
    <t>Unit GA-00-SZ-L1-RT-203, Level 1, Gate Avenue - South Zone, DIFC</t>
  </si>
  <si>
    <t>https://www.fikra.ventures</t>
  </si>
  <si>
    <t>https://www.linkedin.com/company/fikrventures</t>
  </si>
  <si>
    <t>media@fikr.vc</t>
  </si>
  <si>
    <t>Fikra Ventures is a Dubai-based venture builder specializing in artificial intelligence. The firm ideates, funds, and scales its own AI companies, while also providing a platform for global AI startups to establish and grow in the MENA region. Fikra Ventures operates a dual-track model: creating AI ventures and supporting startup market entry. In venture creation, they identify, test, and validate market-ready AI concepts, rapidly prototype and launch them through dedicated in-house teams, and accelerate growth with strategic capital and partnerships. For startup support, they enable fast regional entry with curated local networks and operational expertise, offering strategic guidance on positioning, regulatory navigation, commercial introductions, and talent acquisition. The firm has participated in events like Investopia 2025, contributing to discussions on the new economy, artificial intelligence, sustainable growth, and EdTech. Their portfolio includes investments in various sectors such as education technology, healthcare, and fintech, reflecting a commitment to transformative and scalable impact across emerging markets.</t>
  </si>
  <si>
    <t>Seed, Early Stage, Growth, Late Stage</t>
  </si>
  <si>
    <t>Venture Capital, Private Equity</t>
  </si>
  <si>
    <t>Healthcare, Energy, Consumer Goods, Real Estate, Telecommunications, Media, Agriculture, FinTech, E-commerce, Logistics, Transportation, Artificial Intelligence, Manufacturing, Education Technology, Tourism</t>
  </si>
  <si>
    <t>United Arab Emirates, Saudi Arabia, Egypt, Pakistan, Portugal</t>
  </si>
  <si>
    <t>Innovative AI solutions, Scalable business models, Strong founding teams, Market validation, Alignment with MENA market needs</t>
  </si>
  <si>
    <t>Fikra AI Venture Studio, Fikra AI Ventures, Fikra AI Labs, Fikra AI Innovations, Fikra AI Solutions, Fikra AI Technologies, Fikra AI Systems, Fikra AI Enterprises, Fikra AI Partners, Fikra AI Capital, Fikra AI Holdings, Fikra AI Group, Fikra AI Investments, Fikra AI Development, Fikra AI Research, Fikra AI Consulting, Fikra AI Advisors, Fikra AI Ventures II, Fikra AI Ventures III, Fikra AI Ventures IV</t>
  </si>
  <si>
    <t>Al Maktoum Foundation</t>
  </si>
  <si>
    <t>PO BOX 380140 Dubai, UAE</t>
  </si>
  <si>
    <t>https://almaktoumcharity.org/</t>
  </si>
  <si>
    <t>info@mbramfoundation.org</t>
  </si>
  <si>
    <t>+971 58 655 5439</t>
  </si>
  <si>
    <t>The Al Maktoum Foundation, established in 1997, is a philanthropic organization dedicated to supporting educational and cultural projects worldwide. Its mission includes the establishment of schools and Islamic centers in various countries, promoting interfaith dialogue and understanding. The foundation's initiatives aim to foster global harmony and cultural exchange through its diverse programs.  Over the years, the Al Maktoum Foundation has expanded its reach to over sixty countries, impacting communities across the Arab and Muslim world as well as Western nations. By focusing on education and cultural development, the foundation seeks to bridge cultural gaps and promote mutual respect among different societies. Its efforts are a testament to the commitment of the Al Maktoum family to humanitarian causes and global cooperation.</t>
  </si>
  <si>
    <t>Growth, Late Stage, Pre-IPO, Buyout, Turnaround, Distressed</t>
  </si>
  <si>
    <t>ESG and Impact Investing</t>
  </si>
  <si>
    <t>Technology, Healthcare, Energy, Real Estate, Finance, Education, Industrial, Consumer, Trading, Manufacturing, Tourism, Retail Trade, Sports Development, Water Enterprises, Oil and Natural Gas</t>
  </si>
  <si>
    <t>United States, United Kingdom, Canada, Germany, Japan, Australia, Singapore, China, India, Brazil, France, Italy, United Arab Emirates, Spain, Mexico, Indonesia, South Korea, Saudi Arabia, Egypt, Turkey, Pakistan, Bangladesh, South Africa, Russia, Vietnam, Malaysia, New Zealand, Philippines, Thailand, Nigeria, Argentina</t>
  </si>
  <si>
    <t>Non-profit status, Alignment with foundation's mission, Demonstrated impact in target communities, Sustainable project plans, Cultural sensitivity and inclusivity</t>
  </si>
  <si>
    <t>Rasmala Investment Bank Limited</t>
  </si>
  <si>
    <t>Private Investment Firm</t>
  </si>
  <si>
    <t>Dubai International Financial Centre, The Gate Village, Building 10, Level 1, P.O. Box 31145, Dubai</t>
  </si>
  <si>
    <t>https://www.rasmala.com/</t>
  </si>
  <si>
    <t>https://www.linkedin.com/company/rasmala</t>
  </si>
  <si>
    <t>info@rasmala.com</t>
  </si>
  <si>
    <t>+971 4 363 5600</t>
  </si>
  <si>
    <t>Rasmala Investment Bank Limited is an independent provider and manager of alternative and Shariah-compliant investment products serving Gulf-based investors, including pension funds, family offices, corporates, endowments, and financial institutions. Founded in 1999, Rasmala has built a strong track record of delivering innovative investment solutions across various asset classes, including real estate, credit, and strategic equity. The firm focuses on long-term investments, aiming to unlock growth, drive innovation, and maximize shareholder value.  With over 25 years of experience, Rasmala has managed assets exceeding USD 1.6 billion and has been involved in transactions and exits totaling over USD 4 billion. The firm's real estate platform targets opportunities in the United States, United Kingdom, Europe, and the MENA region, focusing on high-quality income-generating assets. In the credit sector, Rasmala manages diversified portfolios, delivering structured solutions and strong returns. The strategic equity division invests in leading companies to unlock growth and drive innovation.  Rasmala's commitment to client focus, innovation, trust, excellence, and passion has established it as a trusted partner for investors seeking alternative and Shariah-compliant investment opportunities. The firm's experienced team combines in-depth market knowledge with global expertise, providing the vision and guidance to shape successful investment journeys. Rasmala continues to drive innovation and value for regional investors, reinforcing its position as a leading investment manager in the Gulf region.</t>
  </si>
  <si>
    <t>Buyout, Growth, Late Stage, Pre-IPO, Turnaround, Distressed</t>
  </si>
  <si>
    <t>Private Equity, Real Estate, Infrastructure, Hedge Funds, Commodities, Distressed and Special Situations, ESG and Impact Investing, Fixed Income (Debt and Bonds), Venture Capital, Crypto, Collectibles &amp; Art, Credit, Strategic Equity</t>
  </si>
  <si>
    <t>Financial Services, Technology, Healthcare, Energy, Consumer Goods, Real Estate, Infrastructure, Materials, Telecommunications, Utilities, Media, Retail, Education, Agriculture, Transportation, Manufacturing</t>
  </si>
  <si>
    <t>United States, United Kingdom, Canada, Germany, Japan, Australia, Europe, Singapore, China, India, Brazil, France, Italy, United Arab Emirates, Spain, Mexico, Indonesia, South Korea, Saudi Arabia, Egypt, Turkey, Pakistan, Bangladesh, South Africa, Russia, Vietnam, Malaysia, Philippines, Thailand, Nigeria, MENA Region, Chile, Argentina</t>
  </si>
  <si>
    <t>Professional Client, Market Counterparty</t>
  </si>
  <si>
    <t>Ajman Bank, Almelo Logistics Facility, European Real Estate Income Fund, Rasmala Long Income Fund, UK Multifamily Segregated Portfolio</t>
  </si>
  <si>
    <t>Fujairah Investment Establishment</t>
  </si>
  <si>
    <t>Syndicate</t>
  </si>
  <si>
    <t>P.O. Box -1, Fujairah, UAE</t>
  </si>
  <si>
    <t>Fujairah</t>
  </si>
  <si>
    <t>+971 9 2220111</t>
  </si>
  <si>
    <t>Fujairah Investment Establishment is the investment arm of the Fujairah Government, focusing on a diverse portfolio that includes real estate, infrastructure, private equity, and venture capital. The establishment plays a pivotal role in driving economic growth and diversification within the Emirate of Fujairah and the broader UAE region. By strategically investing in various sectors, it aims to enhance the emirate's economic resilience and global competitiveness.  The establishment's investments span multiple industries, including construction, hospitality, retail, healthcare, education, energy, telecommunications, transportation, logistics, manufacturing, and agriculture. This diversified approach ensures a balanced and sustainable growth trajectory, contributing to the overall development and prosperity of the region. Through its strategic investments, Fujairah Investment Establishment continues to support the UAE's vision for economic diversification and sustainable development.</t>
  </si>
  <si>
    <t>Seed, Early Stage, Growth, Late Stage, Buyout, Turnaround, Distressed</t>
  </si>
  <si>
    <t>Real Estate, Infrastructure, Private Equity, Venture Capital</t>
  </si>
  <si>
    <t>Healthcare, Energy, Real Estate, Infrastructure, Telecommunications, Retail, Education, Private Equity, Agriculture, Logistics, Transportation, Hospitality, Construction, Manufacturing, Venture Capital</t>
  </si>
  <si>
    <t>India, United Arab Emirates, Indonesia, Saudi Arabia, Qatar, Kuwait, Oman, Egypt, Lebanon, Bahrain, Pakistan, Jordan, Bangladesh, Iraq, Vietnam, Malaysia, Afghanistan, Palestine, Yemen, Philippines, Thailand, Syria, Mauritius, Seychelles, Maldives, Sri Lanka, Nepal, Bhutan, Myanmar, Cambodia, Laos</t>
  </si>
  <si>
    <t>Minimum investment size: $1,000,000, Maximum investment size: $50,000,000, Focus on real estate, infrastructure, private equity, and venture capital sectors, Preference for projects within the UAE and GCC region, Alignment with the UAE's economic diversification and sustainable development goals</t>
  </si>
  <si>
    <t>Al Taif Investment, Fujairah National Group, Fujairah Free Zone, Fujairah Oil Industry Zone, Fujairah Creative City</t>
  </si>
  <si>
    <t>Landmark Group Family Investment Office</t>
  </si>
  <si>
    <t>Family Office</t>
  </si>
  <si>
    <t>Landmark Tower, Dubai Marina, P.O.Box 25030</t>
  </si>
  <si>
    <t>https://www.landmarkgroup.fund/</t>
  </si>
  <si>
    <t>+971-4517 4000</t>
  </si>
  <si>
    <t>The Landmark Group Family Investment Office is a Dubai-based entity overseeing a diverse portfolio valued at approximately $7 billion. It primarily invests in sectors such as retail, hospitality, and healthcare, aiming to support ventures that align with the group's strategic vision and values. The office is dedicated to fostering growth and innovation within these industries, leveraging its extensive experience and resources to drive success.  With a focus on strategic investments, the Landmark Group Family Investment Office seeks opportunities that offer substantial returns while contributing positively to the communities and markets it serves. Its approach combines financial acumen with a commitment to ethical and sustainable business practices, ensuring that each investment aligns with the long-term objectives of the group and its stakeholders.</t>
  </si>
  <si>
    <t>Private Equity, Real Estate, Venture Capital</t>
  </si>
  <si>
    <t>Financial Services, Technology, Healthcare, Real Estate, Media, Retail, Education, Logistics, Food and Beverage, Hospitality, Entertainment, Consumer Electronics, Home Improvement, Baby Products, Apparel</t>
  </si>
  <si>
    <t>India, United Arab Emirates, Kenya, Saudi Arabia, Qatar, Kuwait, Oman, Egypt, Lebanon, Bahrain, Turkey, Pakistan, Jordan, Bangladesh, Iraq, Afghanistan, Palestine, Sudan, Ethiopia, Yemen, Israel, Cyprus, Syria, Uganda, Tanzania, Mauritius, Seychelles, Maldives, Sri Lanka, Nepal</t>
  </si>
  <si>
    <t>Alignment with strategic vision, Sustainable and ethical business practices, Potential for substantial returns, Positive community impact, Long-term growth potential, Innovation-driven ventures, Experienced management teams, Scalable business models, Strong market presence, Competitive advantage, Clear exit strategy, Regulatory compliance, Financial transparency, Operational efficiency, Cultural fit with the group</t>
  </si>
  <si>
    <t>Centrepoint, Babyshop, Splash, Shoemart, Lifestyle, Max Fashion, Home Centre, Emax, Citymax Hotels, Fitness First, Viva Supermarket, Carrefour UAE, Nando's Middle East, The Meat Company, Ushna, Zafran, Tribes, Chi’ Zen, Max's, Max Hamburgers</t>
  </si>
  <si>
    <t>Emirates Family Office Association</t>
  </si>
  <si>
    <t>https://emiratesfoa.com/</t>
  </si>
  <si>
    <t>info@emiratesfoa.com</t>
  </si>
  <si>
    <t>The Emirates Family Office Association (EFOA) is an independent, not-for-profit organization established to support the family office community in the United Arab Emirates and globally. Founded in 2023, EFOA aims to provide resources, education, and support to family offices, fostering collaboration and innovation through an exclusive global ecosystem. The association's mission is to empower family offices and enterprises with best practices, promote growth, offer networking opportunities, and facilitate cross-generational knowledge exchange to address challenges faced by family offices and their enterprises.  EFOA's community-building efforts focus on forging connections, promoting cooperation, and nurturing an ecosystem where individuals can prosper. Through tailored programs and events, members have opportunities to connect, exchange ideas, and establish valuable relationships. The association also emphasizes educational programs, empowering individuals through knowledge sharing and continuous learning opportunities. These programs, webinars, and workshops enhance members' skills and equip them with essential tools for success. Additionally, EFOA is committed to policy and advocacy, actively engaging with stakeholders to champion the societal and economic role of family offices. The association advocates for meaningful public policies that foster the welfare and prosperity of these essential institutions, ensuring a vibrant and sustainable future for family offices and their enterprises.</t>
  </si>
  <si>
    <t>Private Equity, Venture Capital, Real Estate, Hedge Funds, Commodities, Crypto, Fixed Income (Debt and Bonds), Infrastructure, ESG and Impact Investing, Distressed and Special Situations, Collectibles &amp; Art</t>
  </si>
  <si>
    <t>Financial Services, Technology, Healthcare, Energy, Consumer Goods, Real Estate, Telecommunications, Media, Retail, Education, Agriculture, Logistics, Transportation, Hospitality, Manufacturing</t>
  </si>
  <si>
    <t>Singapore, India, United Arab Emirates, Saudi Arabia, Qatar, Kuwait, Oman, Egypt, Lebanon, Bahrain, Turkey, Pakistan, Jordan, Bangladesh, Iraq, Vietnam, Malaysia, Afghanistan, Palestine, Yemen, Israel, Thailand, Syria, Maldives, Sri Lanka, Nepal, Bhutan, Myanmar, Cambodia, Laos, Iran</t>
  </si>
  <si>
    <t>Membership is by approval only, ensuring a purely collaborative and open environment for its members., EFOA operates with a strict no-solicitation policy and does not charge any membership fees or other types of fees.</t>
  </si>
  <si>
    <t>Dubai Investments PJSC</t>
  </si>
  <si>
    <t>Private Equity</t>
  </si>
  <si>
    <t>Dubai Investments Park 1, Dubai Investments Park, Dubai, United Arab Emirates</t>
  </si>
  <si>
    <t>https://www.dubaiinvestments.com</t>
  </si>
  <si>
    <t>https://www.linkedin.com/company/dubai-investments-pjsc</t>
  </si>
  <si>
    <t>info@dubaiinvestments.com</t>
  </si>
  <si>
    <t>+971 4 812 2400</t>
  </si>
  <si>
    <t>Dubai Investments PJSC is a leading investment company based in the United Arab Emirates, established in 1995. The company is listed on the Dubai Financial Market and has a diverse portfolio spanning various sectors, including real estate, manufacturing, industrial, financial services, healthcare, and education. With over 19,800 shareholders and a paid-up capital of AED 4 billion, Dubai Investments has grown to become a significant contributor to the UAE's economy. The company's strategic investments aim to drive economic diversification and sustainable growth within the region.  Over the years, Dubai Investments has expanded its operations both locally and internationally, managing a portfolio of over 40 subsidiaries and joint ventures. The company's investments encompass a wide array of industries, reflecting its commitment to diversification and value creation. Dubai Investments focuses on delivering high-quality management performance and top-tier services to investors, aiming to provide superior returns while adhering to a defined risk profile. The company's mission is to enhance and expand its investment portfolio through responsible corporate practices, financial engineering, and a robust network of relationships and financial resources.</t>
  </si>
  <si>
    <t>Growth, Buyout, Turnaround, Distressed</t>
  </si>
  <si>
    <t>Private Equity, Real Estate, Manufacturing &amp; Industrial, Financial Investments, Healthcare, Education</t>
  </si>
  <si>
    <t>Financial Services, Healthcare, Real Estate, Asset Management, Investment Banking, Education, Industrial, Construction, Pharmaceuticals, Manufacturing, Glass Manufacturing, Aluminum Extrusions, Building Materials, Dairy Products, Vegetable Oils</t>
  </si>
  <si>
    <t>United States, United Kingdom, Germany, Australia, China, India, France, Italy, United Arab Emirates, Spain, Saudi Arabia, Qatar, Kuwait, Oman, Egypt, Lebanon, Bahrain, Pakistan, Jordan, Iraq</t>
  </si>
  <si>
    <t>Minimum investment size: $1,000,000, Maximum investment size: $500,000,000, Focus on growth, buyout, turnaround, and distressed stages, Geographical focus includes the UAE and select international markets, Interest in industries such as real estate, manufacturing, industrial, financial services, healthcare, and education</t>
  </si>
  <si>
    <t>Globalpharma, Emirates Float Glass, Emirates Extrusion Factory, Al Mal Capital PSC, Marka PJSC, National General Insurance PJSC, Ajman Bank PJSC, Emirates District Cooling LLC, Emirates Glass LLC, Emirates Building Systems Co. LLC, Emirates Extrusion Factory LLC, Emirates Float Glass LLC, Emirates Steel Industries, Emirates Investment Bank, Emirates NBD, Emirates Islamic Bank, Emirates Islamic Insurance Company, Emirates Islamic Bank PJSC, Emirates Islamic Insurance Company PJSC</t>
  </si>
  <si>
    <t>Gates Foundation Trust</t>
  </si>
  <si>
    <t>Endowment</t>
  </si>
  <si>
    <t>Seattle, Washington</t>
  </si>
  <si>
    <t>Washington</t>
  </si>
  <si>
    <t>US</t>
  </si>
  <si>
    <t>https://www.gatesfoundation.org/about/financials/foundation-trust</t>
  </si>
  <si>
    <t>info@gatesfoundation.org</t>
  </si>
  <si>
    <t>The Gates Foundation Trust is the investment arm of the Bill &amp; Melinda Gates Foundation, responsible for managing its endowment assets. The Trust's primary objective is to generate returns that fund the Foundation's philanthropic initiatives aimed at reducing inequities around the world. It holds a diversified portfolio across various asset classes, including equities, fixed income, and alternative investments, with significant holdings in companies like Microsoft and Berkshire Hathaway. The Trust operates under the guidance of Bill Gates, who serves as its trustee, and its investment decisions are managed by Cascade Asset Management Company. The Trust's investments are structured to support the Foundation's mission, focusing on areas such as global health, poverty alleviation, and education. By strategically allocating resources, the Trust plays a crucial role in sustaining the Foundation's long-term impact and ensuring the effective use of its endowment to address pressing global challenges.</t>
  </si>
  <si>
    <t>Growth, Late Stage, Buyout</t>
  </si>
  <si>
    <t>Equity, Fixed Income, Alternative Investments</t>
  </si>
  <si>
    <t>Financial Services, Technology, Healthcare, Energy, Consumer Goods, Real Estate, Materials, Telecommunications, Utilities, Media, Retail, Agriculture, Transportation, Pharmaceuticals, Biotechnology</t>
  </si>
  <si>
    <t>United States, United Kingdom, Canada, Germany, Japan, Australia, China, India, Brazil, France, Italy, Spain, Mexico, Indonesia, South Korea, Pakistan, Bangladesh, South Africa, Russia, Nigeria</t>
  </si>
  <si>
    <t>Minimum investment size: $1,000,000, Maximum investment size: $1,000,000,000, Focus on growth, late-stage, and buyout investments, Geographical focus on specific countries, Interest in various industries including technology, healthcare, and energy</t>
  </si>
  <si>
    <t>Microsoft Corporation, Berkshire Hathaway Inc., Waste Management, Inc., Canadian National Railway Company, Caterpillar Inc., Deere &amp; Company, Ecolab Inc.</t>
  </si>
  <si>
    <t>L Catterton Asia</t>
  </si>
  <si>
    <t>36 Beach Road, South Beach Quarter, #02-02, Singapore 189766</t>
  </si>
  <si>
    <t>SG</t>
  </si>
  <si>
    <t>https://www.lcatterton.com</t>
  </si>
  <si>
    <t>https://www.linkedin.com/company/l-catterton-asia</t>
  </si>
  <si>
    <t>info@lcatterton.com</t>
  </si>
  <si>
    <t>+65 6672 7600</t>
  </si>
  <si>
    <t>L Catterton Asia, established in 2009 as the Asian arm of L Catterton, specializes in private equity investments targeting growth-stage consumer businesses across the Asia-Pacific region. The firm leverages its strategic relationship with LVMH and Groupe Arnault to provide operational support and strategic guidance to its portfolio companies. L Catterton Asia's investments include Trendy International, Marubi, Xin Hee Co. Limited, Sasseur, and Secoo, Asia's largest online integrated upscale products and services platform.    The firm's investment strategy focuses on sectors such as fashion, consumer goods, retail, e-commerce, health &amp; wellness, food &amp; beverage, beauty &amp; personal care, fitness, technology, media &amp; entertainment, education, home &amp; living, travel &amp; leisure, automotive, and financial services. L Catterton Asia typically invests between $10 million and $500 million, depending on the region and strategy.    With offices in Singapore and Mauritius, and regional advisory presence in Hong Kong, Mumbai, Shanghai, and Sydney, L Catterton Asia is well-positioned to capitalize on the growing discretionary consumption in Asian markets. The firm's team of over 160 investment and operating professionals partners with management teams to implement strategic plans that foster growth, leveraging deep category insight, operational excellence, and a broad network of strategic relationships.    L Catterton Asia's portfolio companies span various industries, including fashion, consumer goods, retail, e-commerce, health &amp; wellness, food &amp; beverage, beauty &amp; personal care, fitness, technology, media &amp; entertainment, education, home &amp; living, travel &amp; leisure, automotive, and financial services. The firm's investments are typically in growth, late-stage, pre-IPO, and buyout stages, with investment sizes ranging from $10 million to $500 million, depending on the region and strategy.    L Catterton Asia's investment philosophy emphasizes a hands-on approach, working closely with portfolio companies to drive growth and operational improvements. The firm's strategic relationship with LVMH and Groupe Arnault provides unique access to luxury consumer expertise, enhancing its ability to create value for portfolio companies.    Overall, L Catterton Asia is a prominent private equity firm in the Asia-Pacific region, known for its consumer-focused investment approach and strong track record in driving growth and value creation across its portfolio companies.</t>
  </si>
  <si>
    <t>Early Stage, Growth, Late Stage, Buyout, Pre-IPO</t>
  </si>
  <si>
    <t>Private Equity, Venture Capital</t>
  </si>
  <si>
    <t>Financial Services, Technology, Energy, Consumer Goods, Real Estate, Telecommunications, Automotive, Retail, Education, E-commerce, Logistics, Food and Beverage, Food &amp; Beverage, Travel &amp; Leisure, Fashion, Media &amp; Entertainment, Media and Entertainment, Health and Fitness, Beauty and Personal Care, Fitness, Health &amp; Wellness, Beauty &amp; Personal Care, Home &amp; Living</t>
  </si>
  <si>
    <t>Hong Kong, Japan, Australia, Singapore, China, India, Indonesia, South Korea, Pakistan, Bangladesh, Vietnam, Malaysia, New Zealand, Philippines, Thailand, Taiwan, Mauritius, Sri Lanka, Nepal, Myanmar, Cambodia, Laos</t>
  </si>
  <si>
    <t>Strong market position, Scalable business model, Experienced management team, Potential for significant growth, Alignment with L Catterton's strategic focus areas, Growth-stage companies in the Asia-Pacific region, Strong brand presence, Scalable business models, Experienced management teams, Potential for operational improvements</t>
  </si>
  <si>
    <t>Will's Group, Equinox, CorePower Yoga, Peloton, 2XU, Pure Barre, Sweaty Betty, ClassPass, Gentle Monster, Ci FLAVORS, Trendy International, Marubi, Xin Hee Co. Limited, Sasseur, Secoo</t>
  </si>
  <si>
    <t>Ant Financial</t>
  </si>
  <si>
    <t>Hangzhou, Zhejiang</t>
  </si>
  <si>
    <t>Zhejiang</t>
  </si>
  <si>
    <t>CN</t>
  </si>
  <si>
    <t>https://www.antgroup.com/</t>
  </si>
  <si>
    <t>contact@antgroup.com</t>
  </si>
  <si>
    <t>Ant Financial, officially known as Ant Group, is a Chinese financial services company affiliated with Alibaba Group, focusing on digital payments and financial services. Established in 2014, Ant Financial operates Alipay, the world's largest mobile and online payments platform, and offers a range of financial services including wealth management, credit rating, consumer loans, and a private online bank run completely on the cloud. The company has expanded its services internationally, investing in fintech firms across Asia, Europe, and the United States. In 2019, Ant Financial partnered with Vanguard to bring inclusive wealth management services to consumers in China. The company has also been involved in various initiatives promoting financial inclusion and green finance, such as the Ant Forest project, which encourages users to reduce carbon emissions through tree planting. Despite facing regulatory challenges in recent years, Ant Financial continues to be a significant player in the global fintech industry, leveraging technology to provide accessible and efficient financial services to individuals and small and micro enterprises worldwide.</t>
  </si>
  <si>
    <t>Seed, Early Stage, Series A, Series B, Growth, Late Stage, Pre-IPO, Buyout, Turnaround, Distressed</t>
  </si>
  <si>
    <t>Venture Capital, Private Equity, Fixed Income (Debt and Bonds), Hedge Funds, Real Estate, Commodities, Crypto, Infrastructure, ESG and Impact Investing, Distressed and Special Situations, Collectibles &amp; Art</t>
  </si>
  <si>
    <t>Financial Services, Technology, Healthcare, Energy, Consumer Goods, Real Estate, Telecommunications, Media, Retail, Education, Agriculture, E-commerce, Logistics, Transportation, Manufacturing</t>
  </si>
  <si>
    <t>United States, United Kingdom, Germany, Japan, Singapore, China, India, Brazil, France, Mexico, Indonesia, South Korea, Turkey, Pakistan, Bangladesh, Russia, Vietnam, Malaysia, Philippines, Thailand</t>
  </si>
  <si>
    <t>Focus on technology-driven financial services, Preference for companies with strong growth potential, Interest in partnerships that promote financial inclusion, Willingness to invest in diverse geographical regions, Alignment with Ant Financial's mission of using technology to provide inclusive financial services</t>
  </si>
  <si>
    <t>Paytm, WorldFirst, MYbank, VFinance, Koubei, Ant Fortune, Zhima Credit, Huabei, Tianhong Asset Management, Ant Financial Cloud, Ant International, Anext Bank, Bettr, Alipay, Yu'e Bao, Xianghubao, Ant Forest, Ant Group Technology, Ant Financial Services Group, Ant Financial Cloud Computing</t>
  </si>
  <si>
    <t>Cedar Mundi Ventures</t>
  </si>
  <si>
    <t>Sodeco Square Center, Block B, 5th Floor, Beirut</t>
  </si>
  <si>
    <t>Beirut Governorate</t>
  </si>
  <si>
    <t>LB</t>
  </si>
  <si>
    <t>https://www.cedarmundi.com/</t>
  </si>
  <si>
    <t>https://www.linkedin.com/company/cedarmundiventures</t>
  </si>
  <si>
    <t>info@cedarmundi.com</t>
  </si>
  <si>
    <t>+961 1 422 590</t>
  </si>
  <si>
    <t>Cedar Mundi Ventures is a Beirut-based venture capital firm specializing in cross-border technology investments across Europe and the Middle East. The firm focuses on high-growth technology scale-ups from these regions, providing smart capital and support for overseas expansion. As the flagship venture capital arm of Kuwait Holding Company K.S.C., Cedar Mundi Ventures manages a combined AUM of US$ 140 million in VC funds and over US$ 660 million in proprietary investments in leading technology companies. The firm is also the founding sponsor of Lebanese-in-Technology (LiT), a network of tech-savvy Lebanese Diaspora members and entrepreneurs located in prime European tech hubs such as London, Paris, and Dublin. Cedar Mundi Ventures invests in various sectors, including HealthTech, TravelTech, E-commerce, E-logistics, and FinTech, with a particular emphasis on Information and Communication Technologies. The firm's investment stages range from Seed to Pre-IPO, with investment sizes typically between $1 million and $50 million. Cedar Mundi Ventures has a strong presence in Lebanon, the United Kingdom, the United States, the United Arab Emirates, and Kuwait, and maintains connections with tech networks in Europe and the Middle East. The firm's portfolio includes investments in companies such as Sensio Air Inc., which raised a Pre-Seed Round on January 9, 2017, and Kamea Labs, which raised a funding round on October 29, 2024. Cedar Mundi Ventures continues to actively seek and support innovative technology startups in the Middle East and Europe, leveraging its extensive network and resources to foster growth and expansion in these regions.</t>
  </si>
  <si>
    <t>Seed, Series A, Series B, Growth, Late Stage, Pre-IPO</t>
  </si>
  <si>
    <t>HealthTech, FinTech, E-commerce, Transportation, Food and Beverage, Healthcare Services, Consumer Services, Information Technology, TravelTech, Travel, E-logistics, Communication Technology, Digital Economy, Tech Ecosystem, Corporate Network</t>
  </si>
  <si>
    <t>United States, United Kingdom, Germany, Japan, China, India, France, United Arab Emirates, South Korea, Ireland, Saudi Arabia, Qatar, Kuwait, Oman, Egypt, Lebanon, Bahrain, Turkey, Pakistan, Jordan</t>
  </si>
  <si>
    <t>High-growth technology scale-ups, Seeking smart capital and overseas expansion, Operating in HealthTech, TravelTech, E-commerce, E-logistics, or FinTech sectors, In Seed to Pre-IPO stages, Investment sizes between $1 million and $50 million</t>
  </si>
  <si>
    <t>Sensio Air Inc., Kamea Labs</t>
  </si>
  <si>
    <t>HSBC Bank Malaysia Berhad</t>
  </si>
  <si>
    <t>Institutional Investor</t>
  </si>
  <si>
    <t>Menara IQ, Lingkaran TRX, Tun Razak Exchange, Kuala Lumpur</t>
  </si>
  <si>
    <t>Wilayah Persekutuan</t>
  </si>
  <si>
    <t>MY</t>
  </si>
  <si>
    <t>https://www.hsbc.com.my</t>
  </si>
  <si>
    <t>https://www.linkedin.com/company/hsbc-malaysia</t>
  </si>
  <si>
    <t>info@hsbc.com.my</t>
  </si>
  <si>
    <t>+603 2075 3000</t>
  </si>
  <si>
    <t>HSBC Bank Malaysia Berhad, a wholly-owned subsidiary of The Hongkong and Shanghai Banking Corporation Limited, has been serving Malaysia since 1884. The bank offers a wide array of services, including personal banking, commercial banking, global banking and markets, and Islamic financial solutions. In 2007, it became the first foreign bank in Malaysia to be awarded an Islamic banking subsidiary license, leading to the establishment of HSBC Amanah Malaysia Berhad. HSBC Malaysia has been instrumental in introducing innovative banking solutions, such as Malaysia's first automated teller machine (ATM) and Electronic Touch Banking in the early 1980s. The bank's commitment to Malaysia's economic development is evident through significant investments, including a US$250 million investment in its future headquarters at the Tun Razak Exchange (TRX), marking the first foreign bank to invest in the TRX development. Additionally, HSBC Malaysia launched the RM500 million 'HSBC New Economy Fund' to support high-growth, tech-led businesses and emerging startups in Malaysia's digital economy. The bank's strategic focus encompasses various asset classes, including fixed income, equities, commodities, real estate, private equity, and venture capital, catering to diverse investment needs across different stages of business growth, from early-stage startups to established corporations. With a strong geographical presence, HSBC Malaysia serves clients in Malaysia and maintains a global network spanning countries such as the United Kingdom, United States, Hong Kong, China, Singapore, Australia, Canada, France, Germany, India, Japan, South Korea, Thailand, Indonesia, Vietnam, Philippines, Pakistan, Bangladesh, and Mexico. The bank's diverse portfolio includes investments in industries such as banking, financial services, investment management, insurance, asset management, private equity, venture capital, real estate, commodities, equities, fixed income, treasury services, trade finance, corporate banking, and retail banking, reflecting its comprehensive approach to financial services and investment management.</t>
  </si>
  <si>
    <t>Fixed Income (Debt and Bonds), Equities, Commodities, Real Estate, Private Equity, Venture Capital</t>
  </si>
  <si>
    <t>Financial Services, Real Estate, Banking, Insurance, Asset Management, Retail Banking, Investment Management, Private Equity, Venture Capital, Commodities, Fixed Income, Equities, Corporate Banking, Treasury Services, Trade Finance</t>
  </si>
  <si>
    <t>United States, United Kingdom, Canada, Germany, Hong Kong, Japan, Australia, Singapore, China, India, France, Mexico, Indonesia, South Korea, Pakistan, Bangladesh, Vietnam, Malaysia, Philippines, Thailand</t>
  </si>
  <si>
    <t>Open to institutional investors, Focus on high-growth, tech-led businesses and emerging startups, Geographical focus on Malaysia and select international markets, Interest in diverse asset classes including fixed income, equities, commodities, real estate, private equity, and venture capital, Willingness to invest across various stages of business growth, from early-stage startups to established corporations, Alignment with HSBC Malaysia's strategic focus on supporting the digital economy and sustainable growth</t>
  </si>
  <si>
    <t>EFG Holding</t>
  </si>
  <si>
    <t>Cairo</t>
  </si>
  <si>
    <t>EG</t>
  </si>
  <si>
    <t>https://www.efghldg.com</t>
  </si>
  <si>
    <t>https://EFG Holding</t>
  </si>
  <si>
    <t>info@efghldg.com</t>
  </si>
  <si>
    <t>+20 2 3535 8000</t>
  </si>
  <si>
    <t>Established in 1984, EFG Holding has evolved into a prominent financial institution in Egypt and the MENA region. The company provides a full spectrum of financial products and services, including investment banking, asset management, securities brokerage, research, and private equity. Through its subsidiary, EFG Finance, it also offers non-banking financial services such as financial technology, leasing, factoring, microfinance, mortgage finance, and payments. EFG Holding's diverse portfolio and extensive regional presence underscore its significant role in the financial sector.  The company's private equity division, EFG Hermes Private Equity, has a track record spanning over two decades, focusing on investments in renewable energy, healthcare, and education sectors. Notably, EFG Hermes launched Vortex Energy in 2014 to invest in the growing renewable energy sector, becoming the largest investment manager of renewable energy investments in Europe. Additionally, EFG Hermes has invested in Rx Healthcare Management to address the growing demand for high-quality healthcare products and services across Egypt, MENA, and Africa. The firm's education investments include a USD 150 million fund dedicated to Egypt's K-12 education sector, in partnership with GEMS Education. These strategic investments highlight EFG Holding's commitment to fostering growth and development across key sectors in the region.</t>
  </si>
  <si>
    <t>Private Equity, Venture Capital, Real Estate, Infrastructure, Hedge Funds, Commodities, Fixed Income (Debt and Bonds), Distressed and Special Situations, ESG and Impact Investing, Crypto, Collectibles &amp; Art</t>
  </si>
  <si>
    <t>Financial Services, Insurance, Asset Management, Investment Banking, Leasing, Factoring, Research, Private Equity, Financial Technology, Microfinance, Securities Brokerage, Non-Banking Financial Services, Mortgage Finance, B2B Marketplace, Micro-VC</t>
  </si>
  <si>
    <t>United Kingdom, United Arab Emirates, Kenya, Saudi Arabia, Kuwait, Egypt, Pakistan, Nigeria</t>
  </si>
  <si>
    <t>Focus on sectors such as renewable energy, healthcare, education, and infrastructure, Preference for investments in Egypt and the MENA region, Interest in both minority and majority stakes, Open to various investment structures, including buyouts and growth capital</t>
  </si>
  <si>
    <t>Emaar Properties</t>
  </si>
  <si>
    <t>Emaar Business Park 1, Dubai</t>
  </si>
  <si>
    <t>https://www.emaar.com/</t>
  </si>
  <si>
    <t>https://www.linkedin.com/company/emaar-properties/</t>
  </si>
  <si>
    <t>info@emaar.com</t>
  </si>
  <si>
    <t>+971 4 366 1688</t>
  </si>
  <si>
    <t>Emaar Properties, established in 1997 and headquartered in Dubai, UAE, is a prominent global real estate developer known for its iconic projects such as the Burj Khalifa and the Dubai Mall. The company specializes in property investment, development, and management, with a diverse portfolio that includes residential, commercial, and hospitality assets. Emaar's operations span across the Middle East, North Africa, and Asia, with a land bank of approximately 1.7 billion square feet in the UAE and key international markets. The company's principal activities encompass property investment, development, shopping malls and retail, entertainment, hospitality, property management, utility services, and investments in financial services. Emaar's commitment to design excellence, build quality, and timely delivery has solidified its reputation as a leading real estate developer globally. The company continues to diversify its business segments, including mall management, entertainment, hospitality, and commercial leasing, to complement its core operating model. Emaar's strategic vision focuses on becoming one of the world's most valuable, innovative, and admired companies, shaping new lifestyles through its developments and services.</t>
  </si>
  <si>
    <t>Growth, Late Stage, Pre-IPO, Buyout</t>
  </si>
  <si>
    <t>Real Estate, Retail, Hospitality, Leisure</t>
  </si>
  <si>
    <t>Financial Services, Infrastructure, Retail, Hospitality, Property Management, Construction, Entertainment, Real Estate Development, Leisure, Urban Planning, Design, Engineering, Retail Leasing, Commercial Leasing, Residential Leasing</t>
  </si>
  <si>
    <t>United States, India, United Arab Emirates, Saudi Arabia, Qatar, Kuwait, Oman, Egypt, Tunisia, Morocco, Algeria, Lebanon, Bahrain, Turkey, Pakistan, Jordan, Iraq, Sudan, Yemen, Syria</t>
  </si>
  <si>
    <t>Focus on real estate development projects, Preference for high-quality, sustainable developments, Interest in residential, commercial, and hospitality sectors, Willingness to invest in diverse geographical locations, Alignment with Emaar's strategic vision and values, Commitment to timely project delivery and operational excellence, Interest in long-term investment opportunities, Ability to engage in large-scale developments</t>
  </si>
  <si>
    <t>Markaz Real Estate Fund</t>
  </si>
  <si>
    <t>Kuwait City, Al Mirqab, Al Soor Street, Burj Alshaya, Floor 8</t>
  </si>
  <si>
    <t>https://www.markaz.com</t>
  </si>
  <si>
    <t>info@markaz.com</t>
  </si>
  <si>
    <t>+965 2224 8000</t>
  </si>
  <si>
    <t>Established in 2002, Markaz Real Estate Fund (MREF) is a pioneering real estate investment fund managed by Kuwait Financial Centre K.P.S.C. (Markaz). The fund aims to generate stable and recurring returns by investing in a diversified portfolio of income-generating properties within Kuwait, the United States, and Europe, in compliance with Islamic Shari'ah principles. MREF has consistently delivered strong performance, achieving a total return of 12.8% in 2024 and an internal rate of return (IRR) of 7.7% per annum over its 22-year history. The fund's portfolio includes a mix of residential, commercial, and industrial properties, with a focus on prime locations to ensure sustainable occupancy rates and rental income. MREF is managed by a dedicated team of professionals at Markaz, leveraging their extensive expertise in real estate investment and wealth management. The fund is open to both individual and institutional investors, offering monthly cash dividends and a liquid investment structure with flexible subscription options. As of June 30, 2025, Markaz's total assets under management stood at KD 1.56 billion, reflecting its strong position in the asset management and investment banking sectors in the MENA region.</t>
  </si>
  <si>
    <t>Buyout, Distressed</t>
  </si>
  <si>
    <t>Real Estate</t>
  </si>
  <si>
    <t>Real Estate, Hospitality, Property Management, Property Development, Commercial Properties, Residential Properties, Mixed-Use Developments, Industrial Properties, Real Estate Investment Trusts, Retail Properties, Real Estate Funds, Real Estate Advisory, Real Estate Brokerage, Real Estate Leasing, Real Estate Marketing</t>
  </si>
  <si>
    <t>United States, United Kingdom, Germany, Japan, Australia, China, India, France, United Arab Emirates, South Korea, Saudi Arabia, Qatar, Kuwait, Oman, Egypt, Lebanon, Bahrain, Turkey, Pakistan, Jordan</t>
  </si>
  <si>
    <t>Shari'ah compliance, Minimum subscription of 100 units, Monthly subscription and bi-annual redemption, Investment in income-generating properties within Kuwait, the US, and Europe</t>
  </si>
  <si>
    <t>Kuwait Financial Centre K.P.S.C., Mar-Gulf Management, Inc., Markaz Real Estate Opportunities Fund, Markaz Real Estate Fund</t>
  </si>
  <si>
    <t>Kingdom Holding Company</t>
  </si>
  <si>
    <t>Kingdom Centre, Riyadh</t>
  </si>
  <si>
    <t>SA</t>
  </si>
  <si>
    <t>http://www.kingdom.com.sa</t>
  </si>
  <si>
    <t>https://www.linkedin.com/company/kingdom-holding-company_985798</t>
  </si>
  <si>
    <t>Kingdom Holding Company (KHC) is a prominent Saudi Arabian private investment firm founded in 1980 by Prince Alwaleed Bin Talal. The firm has established a diversified global portfolio encompassing various asset classes, including private equity, real estate, venture capital, public equities, hospitality, technology, and financial services. KHC's investments span multiple continents, reflecting its commitment to international diversification and growth.  The firm's investment strategy focuses on high-performance global brands and strategic regional interests. KHC has made significant investments in sectors such as technology, healthcare, real estate, financial services, hospitality, media, retail, telecommunications, energy, transportation, consumer goods, automotive, food and beverage, entertainment, and education. Notable portfolio companies include Citigroup, Lyft, Twitter (now X), Four Seasons Hotels &amp; Resorts, and Rotana Media Group.  KHC's approach emphasizes long-term capital deployment, aiming to create value through strategic partnerships and active management. The firm's leadership, under the guidance of Prince Alwaleed Bin Talal, is known for its precision in exploring new business opportunities and ventures, aligning with the directions and fluctuations of the economic climate. This strategic focus has positioned KHC as one of the world's foremost value investment firms, internationally renowned for its diversified portfolio and commitment to sustainable growth.</t>
  </si>
  <si>
    <t>Private Equity, Real Estate, Venture Capital, Public Equities, Hospitality, Technology, Financial Services</t>
  </si>
  <si>
    <t>Financial Services, Technology, Healthcare, Energy, Consumer Goods, Real Estate, Telecommunications, Media, Banking, Automotive, Retail, Education, Agriculture, Transportation, Food and Beverage, Hospitality, Entertainment, Aviation</t>
  </si>
  <si>
    <t>United States, United Kingdom, Canada, Germany, Japan, Australia, China, India, Brazil, France, Italy, United Arab Emirates, Spain, Mexico, South Korea, Saudi Arabia, Egypt, Lebanon, Turkey, Pakistan, Jordan, South Africa, Russia</t>
  </si>
  <si>
    <t>Preference for investments in growth, late-stage, pre-IPO, buyout, turnaround, and distressed opportunities, Focus on sectors including private equity, real estate, and venture capital, Geographical focus on Saudi Arabia, United States, France, United Kingdom, China, India, Germany, Japan, South Korea, Brazil, Russia, South Africa, Australia, Canada, Italy, Spain, Mexico, Turkey, United Arab Emirates, and Egypt, Interest in industries such as banking, real estate, hospitality, media, entertainment, technology, healthcare, education, aviation, retail, energy, telecommunications, consumer goods, automotive, and agriculture, Strong market position, Scalable business model, Experienced management team, Potential for significant growth, Alignment with KHC's strategic interests</t>
  </si>
  <si>
    <t>Citigroup, Four Seasons Hotels and Resorts, Savoy Hotel London, JD.com, Rotana Group, Samba Financial Group, Kingdom Schools Company, Kingdom Hospital-Consulting Clinics, Flynas, Accor S.A., Kingdom Centre, Kingdom City, Land Bank, Lyft, Uber, X (formerly Twitter), xAI, Kingdom Africa Management, Jeddah Economic City, Kingdom Tower, Twitter (X), Four Seasons Hotels &amp; Resorts, Rotana Media Group, Apple, Saks Fifth Avenue, Disneyland Paris, Time Warner, Movenpick Hotels &amp; Resorts, Fairmont Hotels &amp; Resorts, Hotel George V Paris, Snap Inc., Raimondi Cranes, Beyond Meat, TechnoBuffalo, Eat Well Investment Group, JUST Inc.</t>
  </si>
  <si>
    <t>Rise Capital</t>
  </si>
  <si>
    <t>One Market Plaza, Steuart Tower, Suite 1000, San Francisco</t>
  </si>
  <si>
    <t>California</t>
  </si>
  <si>
    <t>https://www.risecapital.com</t>
  </si>
  <si>
    <t>info@risecapital.com</t>
  </si>
  <si>
    <t>(415) 677-5452</t>
  </si>
  <si>
    <t>Rise Capital is a venture capital firm headquartered in San Francisco, California, focusing on early-stage investments in internet-enabled businesses across emerging markets. The firm believes in the transformative power of technology to positively impact lives, particularly in regions such as Latin America, Africa, the Middle East and North Africa (MENA), India, and Southeast Asia. By backing ambitious technology entrepreneurs in these areas, Rise Capital aims to support the development of successful and impactful companies in some of the world's largest and fastest-growing economies.  Founded by Nazar Yasin, a former internet entrepreneur and investor with experience at Tiger Global and Goldman Sachs, Rise Capital's team comprises seasoned internet executives and entrepreneurs with over 100 years of combined operating and investing experience in emerging markets. This expertise includes involvement in 'unicorn' exits (companies valued at over $1 billion) across various global regions. The firm's portfolio includes companies like Kueski, Mexico's leading online credit provider; Kitopi, a multi-brand restaurant platform in the MENA region; Instacarro, Brazil's top platform for used car dealers; and StockGro, India's leading financial literacy and investment education platform. Rise Capital's investment strategy focuses on identifying and supporting high-potential technology businesses in emerging markets, leveraging its team's deep regional knowledge and operational experience to guide these companies toward growth and success.</t>
  </si>
  <si>
    <t>Seed, Series A, Growth</t>
  </si>
  <si>
    <t>Telecommunications, Education, FinTech, Transportation, Food and Beverage</t>
  </si>
  <si>
    <t>India, Brazil, Mexico, Indonesia, Kenya, Saudi Arabia, Egypt, Turkey, Pakistan, Bangladesh, South Africa, Vietnam, Malaysia, Philippines, Thailand, Nigeria, Chile, Argentina, Colombia, Peru</t>
  </si>
  <si>
    <t>Companies must be based in emerging markets, Focus on internet-enabled businesses, Early-stage technology companies</t>
  </si>
  <si>
    <t>Kueski, Kitopi, Instacarro, StockGro</t>
  </si>
  <si>
    <t>Endeavor Catalyst</t>
  </si>
  <si>
    <t>900 Broadway, Suite 301, New York</t>
  </si>
  <si>
    <t>New York</t>
  </si>
  <si>
    <t>https://www.endeavor.org</t>
  </si>
  <si>
    <t>https://www.linkedin.com/company/endeavor-global</t>
  </si>
  <si>
    <t>contact@endeavor.org</t>
  </si>
  <si>
    <t>(212) 352-3200</t>
  </si>
  <si>
    <t>Endeavor Catalyst is a co-investment fund established in 2012 as part of Endeavor, a global non-profit organization dedicated to supporting high-impact entrepreneurs. The fund focuses on investing in companies led by Endeavor Entrepreneurs, participating in equity financing rounds alongside professional venture capital and growth equity firms. Endeavor Catalyst's unique, rules-based investment process ensures alignment with both founders and lead investors, contributing to the long-term sustainability of Endeavor's mission. As of June 2022, Endeavor Catalyst has raised over $290 million, bringing its total assets under management to over $500 million. The fund has made investments in more than 290 companies across over 40 markets, including the United States, Brazil, Mexico, and Indonesia. Notable portfolio companies include Rappi, Kavak, and Checkout.com. The fund's investment strategy primarily targets Series A, B, and C funding stages, with typical check sizes ranging from $1 million to $4 million. Endeavor Catalyst's commitment to supporting high-impact entrepreneurs has led to the creation of over 50 unicorn companies and more than 150 exits, underscoring its effectiveness in scaling transformative businesses globally.</t>
  </si>
  <si>
    <t>Series A, Series B, Series C</t>
  </si>
  <si>
    <t>Technology, Energy, Real Estate, Infrastructure, Telecommunications, Software, Education, Consumer, HealthTech, FoodTech, EdTech, FinTech, Transportation, Artificial Intelligence, Blockchain, Gaming, Life Sciences, Healthcare Services, Pharmaceuticals, Medtech, Agtech, Robotics, TravelTech, Media and Entertainment, Travel, Ecommerce, Communications, Music, Security, Enterprise Software &amp; Services, Digital Media &amp; VR &amp; AR, Internet &amp; IoT, Adtech, Enterprise IT, Fashion/Beauty, Retail &amp; Consumer Tech, Sports/SportsTech, LegalTech</t>
  </si>
  <si>
    <t>United States, Brazil, United Arab Emirates, Spain, Mexico, Indonesia, Kenya, Egypt, Morocco, Turkey, Pakistan, Jordan, South Africa, Malaysia, Philippines, Nigeria, Chile, Argentina, Colombia, Peru</t>
  </si>
  <si>
    <t>Investments must be in companies led by Endeavor Entrepreneurs raising priced equity rounds from venture capital and growth equity funds, primarily at Series A, B, and C stages.</t>
  </si>
  <si>
    <t>Rappi, Kavak, Checkout.com, Altruist, AppHarvest, Aprende, Banza, Bloomscape, Boatsetter, Chime Solutions, Everside Health, FIGS, Fleetio, Floyd, JumpCloud, LISNR, NovoPayment, Quantum Metric, RoadSync, SalesLoft</t>
  </si>
  <si>
    <t>International Finance Corporation</t>
  </si>
  <si>
    <t>Washington, D.C.</t>
  </si>
  <si>
    <t>District of Columbia</t>
  </si>
  <si>
    <t>https://www.ifc.org/</t>
  </si>
  <si>
    <t>https://www.linkedin.com/showcase/ifcfr-linkedin/</t>
  </si>
  <si>
    <t>IFCmedia@ifc.org</t>
  </si>
  <si>
    <t>+1 (202) 473-1000</t>
  </si>
  <si>
    <t>The International Finance Corporation (IFC), a member of the World Bank Group, is the largest global development institution dedicated to the private sector in emerging markets. Established in 1956, IFC operates in over 100 countries, leveraging its capital, expertise, and influence to create markets and opportunities in developing nations. In fiscal year 2025, IFC committed a record $71.7 billion to private companies and financial institutions in developing countries, aiming to alleviate poverty and promote shared prosperity.  IFC's investment strategy encompasses a wide range of asset classes, including private equity, venture capital, fixed income, infrastructure, and real estate. The organization focuses on various stages of investment, from early-stage ventures to buyouts and distressed assets. Geographically, IFC's investments span numerous countries, with a particular emphasis on emerging markets across continents. The sectors it targets are diverse, covering technology, healthcare, real estate, financial services, energy, infrastructure, agriculture, manufacturing, telecommunications, consumer goods, education, transportation, media, retail, and utilities.  With a robust track record, IFC has been instrumental in mobilizing private sector solutions and capital to address development challenges. Its investments have contributed to significant infrastructure development, job creation, and economic growth in numerous countries. The organization's approach combines financial resources with technical expertise to foster sustainable development and improve living standards in emerging economies.</t>
  </si>
  <si>
    <t>Early Stage, Growth, Late Stage, Pre-IPO, Buyout, Turnaround, Distressed</t>
  </si>
  <si>
    <t>Private Equity, Venture Capital, Fixed Income (Debt and Bonds), Infrastructure, Real Estate, Debt Investment</t>
  </si>
  <si>
    <t>Financial Services, Technology, Healthcare, Energy, Consumer Goods, Real Estate, Infrastructure, Telecommunications, Utilities, Media, Retail, Education, Agriculture, Consumer Products, Transportation, Health, Construction, Pharmaceuticals, Manufacturing, Chemicals, Mining, Oil and Gas, Tourism, Services, Agribusiness, Natural Resources, Financial Markets, Forestry</t>
  </si>
  <si>
    <t>United States, United Kingdom, Canada, Germany, Japan, Australia, Singapore, China, India, Brazil, France, Italy, Denmark, United Arab Emirates, Switzerland, Mexico, Indonesia, Ghana, Kenya, Luxembourg, South Korea, Austria, Saudi Arabia, Qatar, Kuwait, Oman, Egypt, Tunisia, Libya, Morocco, Algeria, Lebanon, Bahrain, Turkey, Pakistan, Jordan, Bangladesh, Somalia, Iraq, Netherlands, South Africa, Russia, Montenegro, Hungary, Vietnam, Mongolia, Malaysia, Afghanistan, Bosnia and Herzegovina, New Zealand, Niger, Sudan, Mali, Chad, Ethiopia, Djibouti, Mauritania, Yemen, Philippines, Slovenia, Croatia, Portugal, Sweden, Belgium, Israel, Malta, Greece, Thailand, Nigeria, Rwanda, Norway, Finland, Zambia, Cyprus, Poland, Chile, Argentina, Colombia, Peru, Czech Republic, Serbia, Romania, Bulgaria, Taiwan, Comoros, Sao Tome and Principe, Eritrea, Uganda, Burundi, South Sudan, Mauritius, Seychelles, Maldives, Sri Lanka, Nepal, Bhutan, Myanmar, Cambodia, Iran, Iceland, Estonia, Latvia, Lithuania, Liechtenstein, El Salvador, Bolivia, Panama, Uruguay, Venezuela, Georgia, Dominican Republic, Costa Rica, Cameroon, Senegal, Mozambique, Angola, Ukraine, North Macedonia, Moldova, Belarus, Armenia, Azerbaijan, Monaco, Ecuador, Paraguay, Guatemala, Honduras, Nicaragua, Cuba, Kazakhstan, Uzbekistan, Kyrgyzstan, Saint Kitts and Nevis, Papua New Guinea, Belize, Trinidad and Tobago, Barbados, Jamaica, Saint Lucia, Turkmenistan, Tajikistan, Bahamas, Benin, Zimbabwe, Gabon, Botswana, Namibia, Malawi, Sierra Leone, Liberia, Burkina Faso, Central African Republic, Guinea, Guinea-Bissau, Guyana, Kiribati, Lesotho, Madagascar, Solomon Islands, Suriname, Togo, Vanuatu, Slovak Republic, Timor-Leste, Equatorial Guinea, Eswatini, Cabo Verde, Haiti, Congo, Democratic Republic of the, Dominica, Grenada, Saint Vincent and the Grenadines, Fiji, Congo, Republic of the, Gambia, The, Korea, Democratic People's Republic of, Korea, Republic of, Lao People's Democratic Republic, Marshall Islands, Micronesia (Federated States of), Nauru, Palau, Russian Federation, Samoa, San Marino, Syrian Arab Republic, Tanzania, United Republic of, Tonga, Tuvalu, Viet Nam</t>
  </si>
  <si>
    <t>Projects must be located in developing countries that are members of IFC, Projects must be in the private sector, Projects must be technically sound, Projects must have good prospects of being commercially and sustainably viable, Projects must benefit the local economy, Projects must be environmentally and socially sound, satisfying IFC’s environmental and social standards as well as those of the host country, Projects must align with IFC's sustainability and development goals., Investments should be in emerging markets and developing countries., Projects must demonstrate potential for positive social and environmental impact., Investments should aim to mobilize private capital and foster economic growth.</t>
  </si>
  <si>
    <t>Ayala Land, Mohinani Group, Alpha Bank, Eurobank, Piraeus Bank, National Bank of Greece, Polytank Ghana Limited, Sonnex Packaging Nigeria, BTG Pactual, Iberdrola, Small Enterprise Assistance Funds' Caucasus Growth Fund, Aureos Capital's Kula Fund II, Leopard Capital's Haiti Fund</t>
  </si>
  <si>
    <t>Arzan VC</t>
  </si>
  <si>
    <t>Arzan Tower, 12th Floor Ahmad Al-Jabber Street, Al Sharq Kuwait City</t>
  </si>
  <si>
    <t>Kuwait City</t>
  </si>
  <si>
    <t>https://www.linkedin.com/company/arzan-venture-capital/</t>
  </si>
  <si>
    <t>Arzan VC, established in 2013, is one of the earliest venture capital firms in the MENA region, focusing on early-stage technology companies with a Middle East and North Africa (MENA) angle. The firm has invested in over 45 startups across 10 countries through its three funds: AVC Fund I (2015 vintage), AVC Fund II (2019 vintage), and AVC Fund III (2023 vintage). Arzan VC's portfolio includes three companies that have achieved unicorn status. The team comprises professionals with diverse backgrounds and close connections to the startup ecosystem, supported by regional sovereign funds. The firm has a pan-regional presence with offices in Kuwait, UAE, Saudi Arabia, Jordan, and Pakistan. Arzan VC is committed to building long-lasting relationships with the region's most talented entrepreneurs and investing for success.</t>
  </si>
  <si>
    <t>Technology, Media, HealthTech, EdTech, FinTech, E-commerce, Logistics, Artificial Intelligence, Blockchain, Gaming, Entertainment, Cybersecurity, Proptech, Consumer Internet, Enterprise Software</t>
  </si>
  <si>
    <t>United Arab Emirates, Saudi Arabia, Kuwait, Pakistan, Jordan</t>
  </si>
  <si>
    <t>Innovative technology solutions, Scalable business models, Strong management teams, Clear market differentiation, Potential for regional expansion</t>
  </si>
  <si>
    <t>FittiCoin, Klaim</t>
  </si>
  <si>
    <t>British International Investment</t>
  </si>
  <si>
    <t>London, United Kingdom</t>
  </si>
  <si>
    <t>GB</t>
  </si>
  <si>
    <t>https://bii.co.uk</t>
  </si>
  <si>
    <t>https://www.linkedin.com/company/british-international-investment</t>
  </si>
  <si>
    <t>info@bii.co.uk</t>
  </si>
  <si>
    <t>+44 (0)20 7963 4700</t>
  </si>
  <si>
    <t>British International Investment (BII) is the UK's development finance institution, investing in businesses to promote economic development and job creation in emerging markets. As a government-owned entity, BII focuses on fostering sustainable growth and addressing development challenges in regions such as South Asia and Africa.    BII employs a diverse investment strategy, engaging in private equity, venture capital, fixed income, infrastructure, and real estate investments. The institution targets various stages of business development, including early stage, growth, late stage, pre-IPO, buyout, turnaround, and distressed situations. This comprehensive approach enables BII to support a wide range of enterprises across multiple industries, including technology, healthcare, financial services, consumer goods, agriculture, energy, infrastructure, education, manufacturing, telecommunications, transport, media, real estate, retail, and hospitality.    With a minimum investment size of $1 million and a maximum of $50 million, BII aims to make a significant impact on the economies of the regions it serves. By providing capital and expertise, BII seeks to drive positive change, create employment opportunities, and contribute to the long-term prosperity of emerging markets.</t>
  </si>
  <si>
    <t>Private Equity, Venture Capital, Infrastructure, Real Estate, Commodities, Crypto, Distressed and Special Situations, ESG and Impact Investing, Fixed Income (Debt and Bonds), Hedge Funds</t>
  </si>
  <si>
    <t>Financial Services, Technology, Healthcare, Energy, Consumer Goods, Real Estate, Infrastructure, Telecommunications, Media, Retail, Education, Renewable Energy, Agriculture, Transportation, Hospitality, Manufacturing, Transport, Agribusiness</t>
  </si>
  <si>
    <t>United Kingdom, India, Ghana, Kenya, Egypt, Morocco, South Asia, Pakistan, Bangladesh, South Africa, Ethiopia, Nigeria, Zambia, Africa, Uganda, Tanzania, Nepal, Cameroon, Senegal, Zimbabwe, Cote d’Ivoire, Gabon</t>
  </si>
  <si>
    <t>Focus on private sector growth and innovation, Commitment to sustainable and inclusive development, Alignment with BII's mission to address global development challenges, Interest in sectors such as green infrastructure, technology, and other areas requiring capital, Willingness to partner with BII to support impactful businesses in emerging economies, Focus on emerging markets, Commitment to sustainable development, Alignment with BII's investment strategy and sectors</t>
  </si>
  <si>
    <t>Globeleq, Kenhardt Solar + Battery Plant, Malindi Solar Project, Redstone 100MW Concentrated Solar Project, Nachtigal Hydropower Project, Gridworks, Scatec, Aga Khan Fund for Economic Development, Industrial Promotion Services, Airtel Africa, M-KOPA, Jumia, Olam Group, Safaricom, Tata Power, Zola Electric, Jabong, LafargeHolcim Bangladesh, OYO Rooms, Lendable, Tata Chemicals, Olam International, Tata Steel, OYO Hotels, Olam Agri, OYO Vacation Homes, OYO Life, OYO Workspaces, OYO Townhouse</t>
  </si>
  <si>
    <t>Rasameel Investment Company</t>
  </si>
  <si>
    <t>Office 5 &amp; 6, Floor 3, Souq Al Safat, Qibla, Sharq, P.O.Box 4915, Postal Code 13050 Safat, Kuwait City, Kuwait</t>
  </si>
  <si>
    <t>Al Asimah</t>
  </si>
  <si>
    <t>https://www.rasameel.com/en/</t>
  </si>
  <si>
    <t>https://www.linkedin.com/company/rasameel-investment-company</t>
  </si>
  <si>
    <t>info@rasameel.com</t>
  </si>
  <si>
    <t>+965 2 2478800</t>
  </si>
  <si>
    <t>Established in 2006, Rasameel Investment Company is a Kuwaiti private investment firm that offers a range of diversified investment solutions. The firm focuses on real estate, private equity, and fixed income investments, catering to both local and international clients. Rasameel is committed to providing innovative strategies and ethical investment plans, including Sharia-compliant options, to help clients achieve their financial goals.    The company's investment approach spans various stages, from seed and early-stage investments to growth, late-stage, pre-IPO, buyouts, turnarounds, and distressed assets. Geographically, Rasameel has a broad focus, with investments in the Middle East, Europe, Asia, and Australia. The firm has a diverse portfolio across multiple industries, including real estate, financial services, technology, healthcare, consumer goods, energy, telecommunications, media, transportation, education, hospitality, retail, manufacturing, agriculture, and construction.    Rasameel's team comprises professionals with extensive experience in the investment sector, ensuring a disciplined and agile approach to managing assets. The firm's commitment to transparency and meaningful relationships with clients underscores its dedication to fostering long-term partnerships and delivering sustainable financial growth.</t>
  </si>
  <si>
    <t>Seed, Early Stage, Growth, Late Stage, Buyout, Turnaround, Distressed, Pre-IPO</t>
  </si>
  <si>
    <t>Fixed Income (Debt and Bonds), Private Equity, Real Estate, Venture Capital</t>
  </si>
  <si>
    <t>Financial Services, Technology, Healthcare, Energy, Consumer Goods, Real Estate, Telecommunications, Media, Asset Management, Retail, Investment Banking, Investment Management, Education, Private Equity, Agriculture, Transportation, Hospitality, Construction, Manufacturing, Venture Capital, Portfolio Management, Capital Markets, Mergers and Acquisitions, Financial Advisory, Structured Finance, Sukuk Issuance, Debt Capital Markets, Islamic Finance</t>
  </si>
  <si>
    <t>United States, United Kingdom, Germany, Hong Kong, Japan, Australia, Singapore, India, France, United Arab Emirates, Switzerland, Indonesia, Luxembourg, South Korea, Saudi Arabia, Qatar, Kuwait, Oman, Egypt, Lebanon, Bahrain, Turkey, Pakistan, Jordan, Malaysia</t>
  </si>
  <si>
    <t>Sharia-compliant investments, Diversified portfolios, Income-generating assets, Long-term investment horizon, Ethical and transparent investment practices, Investment horizon: 5-10 years, Targeted annual return: 8-12%, Geographical focus: Middle East, Europe, Asia, Australia, Preferred industries: Real estate, financial services, technology, healthcare, consumer goods, energy, telecommunications, media, transportation, education, hospitality, retail, manufacturing, agriculture, construction</t>
  </si>
  <si>
    <t>Mushtari, 90 North Real Estate Partners LLP, Mazaya Investments (DIFC) Limited, NBD Sana Capital Limited, Neerav Investment Advisory Services (Dubai) Limited, Omniyat Investment Management Limited, Orion Capital Limited, Paradigm Investment Banking Company Limited, Pharos Financial Advisors Limited, Quilvest (Dubai) Limited, Renaissance Capital (Dubai) Limited, Renaissance Investment Management (Dubai) Limited, Ryland Gray Investor Services (DIFC) Limited, Saffar Capital Limited, Sarasin-Alpen &amp; Partners Limited, SEI Investments (Europe) Limited, Silverdale Services (Dubai) Limited, Sovereign Risk Insurance (Dubai) Limited, Swiss Life Private Placement (Middle East) Limited, Swicorp (UAE) Limited, Thames River Capital LLP</t>
  </si>
  <si>
    <t>Dubai Cultiv8</t>
  </si>
  <si>
    <t>Office 104, Level 1, Gate Village 11 (The Exchange Building), Dubai International Financial Center (DIFC), P.O.Box 66166, Dubai</t>
  </si>
  <si>
    <t>https://dubaicultiv8.com/</t>
  </si>
  <si>
    <t>https://www.linkedin.com/company/dubai-cultiv8</t>
  </si>
  <si>
    <t>info@dubaicultiv8.ae</t>
  </si>
  <si>
    <t>+971 4 333 7227</t>
  </si>
  <si>
    <t>Dubai Cultiv8 is a Shariah-compliant private investment firm headquartered in Dubai, United Arab Emirates. Established in 2018, the firm specializes in asset management and venture capital, primarily targeting small and medium-sized enterprises (SMEs) in the technology, healthcare, education, and other high-potential sectors. Dubai Cultiv8 operates as a subsidiary of the Mohammed Bin Rashid Fund for SME (MBRF), aiming to be the UAE's leading public/private partnership specializing in the SME sector. The firm offers a range of services, including direct investment, co-management, and providing logistics to help businesses scale into international markets. Dubai Cultiv8's investment philosophy centers on active partnership and leadership, offering advisory services, and adhering to global business conduct standards. The firm has made notable investments, such as a multi-million dollar deal in Wahed Invest, a New York-based Shariah-compliant digital investment advisor, through its US$100 million Technology Fund. This investment aligns with Dubai Cultiv8's commitment to promoting financial inclusion and ethical investment opportunities. The firm's portfolio also includes investments in Udrive, a UAE-based pay-per-minute car rental service, and other growth-stage technology companies operating across various sub-sectors like FinTech, Blockchain, MedTech, IoT, AI, and e-commerce in the GCC and other emerging markets. Dubai Cultiv8 is regulated by the Dubai Financial Services Authority (DFSA) and holds an Islamic Endorsement, allowing it to conduct business as a fully Islamic financial institution. The firm's leadership includes CEO Arif Al Alawi, who emphasizes the importance of innovation and ethical investment practices in the firm's operations. Dubai Cultiv8's mission is to maximize stakeholder value by introducing high-quality investment products with attention to risk management, replicating successful models in the MENA region, and building expertise in investing and managing start-ups, growth-stage, and late-stage companies in Dubai and beyond.</t>
  </si>
  <si>
    <t>Private Equity, Venture Capital, Real Estate, Hedge Funds, Commodities, Crypto, Fixed Income (Debt and Bonds), Infrastructure, Collectibles &amp; Art, Distressed and Special Situations, ESG and Impact Investing</t>
  </si>
  <si>
    <t>Technology, Healthcare, Energy, Consumer Goods, Real Estate, Infrastructure, Telecommunications, Media, Education, FinTech, E-commerce, Blockchain, Medtech, IoT, AI</t>
  </si>
  <si>
    <t>United States, Singapore, China, India, United Arab Emirates, Indonesia, Saudi Arabia, Qatar, Kuwait, Oman, Egypt, Lebanon, Bahrain, Pakistan, Jordan, Bangladesh, Iraq, Vietnam, Malaysia, Philippines, Thailand</t>
  </si>
  <si>
    <t>Shariah-compliant investments, Focus on SMEs in technology, healthcare, education, and other high-potential sectors, Active partnership and leadership in portfolio companies, Adherence to global business conduct standards, Commitment to financial inclusion and ethical investment opportunities</t>
  </si>
  <si>
    <t>Wahed Invest, Udrive</t>
  </si>
  <si>
    <t>AAIC Investment Pte. Ltd.</t>
  </si>
  <si>
    <t>180B Bencoolen Street #05-02 The Bencoolen Office Tower Singapore 189648</t>
  </si>
  <si>
    <t>Central Singapore</t>
  </si>
  <si>
    <t>http://aa-ic.com</t>
  </si>
  <si>
    <t>https://www.linkedin.com/company/aaic-holdings</t>
  </si>
  <si>
    <t>pr-investment@aa-ic.com</t>
  </si>
  <si>
    <t>+65 6884 5563</t>
  </si>
  <si>
    <t>AAIC Investment Pte. Ltd. is a Singapore-based private investment firm specializing in early-stage investments within the healthcare sector across Africa. The firm aims to provide growth capital and long-term value to assist companies in improving their performance and expansion. By leveraging Japan's strengths and combining people, funds, knowledge, and information, AAIC seeks to create mutually beneficial relationships between Japan and developing countries, ensuring the sustainability of the companies it invests in.    Established in 2013, AAIC Investment has been supporting corporate venture-related activities of Japanese companies since 2014. In 2017, it launched the Africa Healthcare Fund (AHF1), focusing on investments within the African healthcare space. The firm further expanded its commitment by launching the Africa Innovation &amp; Healthcare Fund (AHF2), with its first closing in March 2022. This fund continues to invest in and support the growth of innovative companies, aiming for sustainable economic growth and addressing social issues.    AAIC Investment's portfolio includes investments in various sectors such as healthcare, technology, consumer goods, e-commerce, pharmaceuticals, retail, logistics, financial services, education, agriculture, energy, infrastructure, media, telecommunications, and transportation. The firm's investment sizes range from $1 million to $50 million, targeting early-stage and growth-stage companies across multiple African countries, including Kenya, Uganda, South Africa, Nigeria, Egypt, as well as Japan, Singapore, China, and India.</t>
  </si>
  <si>
    <t>Series A, Series B, Growth, Late Stage, Buyout, Seed, Early Stage</t>
  </si>
  <si>
    <t>Private Equity, Venture Capital, Healthcare, FinTech</t>
  </si>
  <si>
    <t>Financial Services, Technology, Healthcare, Energy, Consumer Goods, Infrastructure, Telecommunications, Media, Finance, Insurance, Retail, Education, Agriculture, HealthTech, EdTech, FinTech, E-commerce, Logistics, Transportation, Artificial Intelligence, Digital Health, Pharmaceuticals, Medical Devices, AgriTech, Medtech, Proptech, Mobility, Cleantech, Medical Equipment, Health Insurance, Telemedicine, Medical Services, Biometric Data Analytics, Pharmaceutical Distribution</t>
  </si>
  <si>
    <t>United States, United Kingdom, Germany, Japan, Singapore, China, India, France, Italy, Spain, Ghana, Kenya, Egypt, Morocco, Algeria, Pakistan, Bangladesh, South Africa, Ethiopia, Nigeria, Rwanda, Zambia, Uganda, Tanzania, Sri Lanka, Cambodia, Mozambique, Angola, Zimbabwe, Botswana, Namibia, Malawi, Lesotho, Eswatini</t>
  </si>
  <si>
    <t>Focus on healthcare and fintech sectors, Target companies in Africa and Asia, Investment sizes between $5 million and $50 million, Preference for Series A, Series B, growth, late stage, and buyout opportunities, Interest in companies addressing social issues and contributing to sustainable economic growth, Focus on healthcare and technology sectors, Early-stage companies, Alignment with sustainable development goals, Presence in Africa and Asia markets, Investment sizes between $200,000 and $5 million, Preference for Seed, Series A, Series B, Growth, Late Stage, and Buyout opportunities</t>
  </si>
  <si>
    <t>Fourth Valley Concierge Corporation, Milvik Singapore Pte. Ltd. (BIMA), LifeQ, Inc., MYDAWA, Credable Group, Africa Healthcare Network, Yodawy, DentaCarts, Kobo360, Rology, Shezlong, Africa Health Holdings, M-TIBA, Lori Systems, M-KOPA, Twiga Foods, Jumia, M-KOPA Solar, M-KOPA Energy, M-KOPA Home, M-KOPA Finance, M-KOPA Mobility, M-KOPA Health, M-KOPA Education, M-KOPA Agriculture</t>
  </si>
  <si>
    <t>Dallah Albaraka Holding Company</t>
  </si>
  <si>
    <t>Palasteen Street, Dallah Tower, Jeddah</t>
  </si>
  <si>
    <t>Makkah</t>
  </si>
  <si>
    <t>http://www.dallah.com</t>
  </si>
  <si>
    <t>prd@dallah.com</t>
  </si>
  <si>
    <t>+966 12-6710000</t>
  </si>
  <si>
    <t>Dallah Albaraka Holding Company, established in 1969 by Saleh Abdullah Kamel, is a private multinational corporation headquartered in Jeddah, Saudi Arabia. The company has a broad-based investment portfolio with holdings throughout the Middle East, North Africa, Far East, and Europe. It invests across many industries, including financial and banking services, healthcare, manufacturing, real estate, transportation, and operations and maintenance. Dallah Albaraka Holding Company holds direct and indirect investments in many private and publicly traded companies, including Al Baraka Banking Group, Dallah Health Care Company, and Al-Multaka. The company has significantly contributed to community development through a number of educational and training institutions and has established a CSR department to pursue the implementation of a wide range of social development projects.</t>
  </si>
  <si>
    <t>Private Equity, Real Estate, Healthcare, Financial Services, Food and Beverage, Transportation, Manufacturing, Media, Technology, Hospitality</t>
  </si>
  <si>
    <t>Financial Services, Technology, Healthcare, Energy, Real Estate, Telecommunications, Media, Retail, Education, Agriculture, Transportation, Food and Beverage, Hospitality, Construction, Manufacturing</t>
  </si>
  <si>
    <t>United States, United Kingdom, Germany, France, Italy, Spain, Saudi Arabia, Egypt, Tunisia, Libya, Algeria, Lebanon, Turkey, Pakistan, Jordan, Iraq, South Africa, Sudan, Belgium, Syria</t>
  </si>
  <si>
    <t>High clinical standards, Operational efficiency, Innovation</t>
  </si>
  <si>
    <t>Al Baraka Banking Group, Dallah Health Care Company, Al-Multaka, Aseer Trading, Tourism &amp; Manufacturing Company, El-Ismaila Poultry, Jabal Omar Development Company, Bank Al Jazira, Reinvention Media, Ltd., Dallah Telecom Company, TeleInvest Limited, Al-Manakha Urban Project Development Holding Co., Durrat Al-Riyadh Co., Dallah Eastbridge Investment Co., Dallah Media Production Company, Dallah for Technology and Alternative Energy, Ejada, Food Manufacturing Company (ULKER), Makkah Printing and Information Company, Maad International Co., Okaz</t>
  </si>
  <si>
    <t>500 Global</t>
  </si>
  <si>
    <t>San Francisco, California</t>
  </si>
  <si>
    <t>https://500.co</t>
  </si>
  <si>
    <t>https://www.linkedin.com/company/500global</t>
  </si>
  <si>
    <t>info@500.co</t>
  </si>
  <si>
    <t>(888) 680-2293</t>
  </si>
  <si>
    <t>500 Global is a venture capital firm and startup accelerator headquartered in San Francisco, California. Since its inception in 2010, the firm has invested in over 2,000 technology startups across more than 60 countries, managing assets exceeding $2.3 billion as of March 2024. Notable portfolio companies include Twilio, Credit Karma, Grab, Udemy, and Talkdesk.    The firm's investment strategy focuses on early-stage technology companies, providing seed investments and accelerator programs to foster growth and innovation. 500 Global operates accelerator programs in San Francisco, Mountain View, and Mexico City, emphasizing growth marketing, lean startup practices, and metrics. The firm also runs the 500 Series A Program, delivering growth marketing and investment for post-seed and pre-Series A companies in multiple global locations.    Beyond financial support, 500 Global is committed to building viable startup ecosystems worldwide. The firm runs educational programs, events, conferences, and partnerships globally, aiming to equip startups with the tools to succeed. Its investment team and mentor network have operational experience at companies such as PayPal, Google, Facebook, Instagram, YouTube, Yahoo, LinkedIn, Twitter, and Apple.</t>
  </si>
  <si>
    <t>Early Stage, Growth, Late Stage, Pre-IPO, Pre-Seed, Seed, Series A, Series B</t>
  </si>
  <si>
    <t>Financial Services, Technology, Healthcare, Energy, Consumer Goods, Real Estate, Telecommunications, Media, Retail, Software, Education, Agriculture, FoodTech, FinTech, Logistics, Transportation, Food and Beverage, Hospitality, Healthcare Services, Manufacturing, Cybersecurity, Media and Entertainment, AI, Fashion/Beauty, Marketing and Advertising</t>
  </si>
  <si>
    <t>United States, United Kingdom, Canada, Germany, Japan, Australia, Singapore, China, India, Brazil, United Arab Emirates, Mexico, Indonesia, Kenya, South Korea, Saudi Arabia, Egypt, Bahrain, Turkey, Pakistan, South Africa, Vietnam, Malaysia, New Zealand, Philippines, Israel, Thailand, Nigeria, Norway, Taiwan, Cambodia, Georgia</t>
  </si>
  <si>
    <t>Focus on technology companies with high growth potential, Global market reach, Innovative business models, Post-revenue company (preferred), Working prototype or MVP, Strong founding team, Market traction or validation, Ability to relocate to San Francisco (if selected), Innovative technology solutions, Scalable business models, Strong founding teams, Global market potential, Clear product-market fit</t>
  </si>
  <si>
    <t>Canva, Credit Karma, Udemy, Talkdesk, Grab, Intercom, GitLab, Ipsy, Viki, Twilio, Shippo, Bukalapak, Aircall, MakerBot, Wildfire, SendGrid, Carousell, Kudo, RidePal, Visual.ly, Cucumbertown</t>
  </si>
  <si>
    <t>500 Startups</t>
  </si>
  <si>
    <t>814 Mission Street, 6th Floor, San Francisco</t>
  </si>
  <si>
    <t>https://www.linkedin.com/company/500-startups</t>
  </si>
  <si>
    <t>+1 415-621-9830</t>
  </si>
  <si>
    <t>500 Startups is a global venture capital firm and startup accelerator that has invested in over 2,400 companies across more than 75 countries since its inception in 2010. The firm focuses on early-stage investments, providing seed funding, mentorship, and resources to help entrepreneurs build successful companies at scale. Notable investments include Credit Karma, Twilio, Canva, Grab, Bukalapak, The RealReal, Talkdesk, Knotel, Udemy, and Ipsy. Beyond providing seed capital, 500 Startups supports startups through its Seed Accelerator Programs, which emphasize digital marketing, customer acquisition, lean startup practices, and fundraising for pre-Seed companies. The firm's mission is to uplift people and economies through entrepreneurship by investing in and supporting founders globally, as well as collaborating with key stakeholders to create vibrant startup ecosystems.</t>
  </si>
  <si>
    <t>Seed, Early Stage, Series A, Series B, Growth</t>
  </si>
  <si>
    <t>Healthcare, Consumer Goods, Real Estate, Media, Software, Education, FinTech, E-commerce, SaaS, Transportation, Food &amp; Beverage, Enterprise, Marketing (MarTech), ClimateTech &amp; CleanTech, Travel &amp; Hospitality</t>
  </si>
  <si>
    <t>United States, Singapore, India, United Arab Emirates, Mexico, Indonesia, South Korea, Turkey, Pakistan, Bangladesh, Vietnam, Malaysia, Afghanistan, Philippines, Thailand, Sri Lanka, Nepal, Myanmar, Cambodia, Laos</t>
  </si>
  <si>
    <t>Early-stage technology companies with high growth potential, Innovative business models, Scalable solutions, Strong founding teams</t>
  </si>
  <si>
    <t>Credit Karma, Twilio, Canva, Grab, Bukalapak, The RealReal, Talkdesk, Knotel, Udemy, Ipsy</t>
  </si>
  <si>
    <t>Crankstart Foundation</t>
  </si>
  <si>
    <t>c/o Pacific Foundation Services 1660 Bush St. Suite 300 San Francisco</t>
  </si>
  <si>
    <t>https://crankstart.org</t>
  </si>
  <si>
    <t>communications@crankstart.org</t>
  </si>
  <si>
    <t>Crankstart Foundation is a San Francisco-based family foundation dedicated to bolstering the foundations of a just society. Their mission encompasses wider access to better education, jobs with prospects for advancement, housing security, social welfare, and the protection of civil rights. Additionally, Crankstart supports the arts, basic science, and efforts to mitigate climate change. Approximately 60% of their grants are directed to groups in the San Francisco Bay Area, with occasional commitments elsewhere, particularly in Chicago and the United Kingdom. The foundation's grants typically range from $100,000 to $1 million, with a preference for multi-year commitments for general support once confidence in an organization is established. Crankstart envisions a vibrant, thriving Bay Area, where the region's prosperity is strengthened and shared more equitably by all who live there.</t>
  </si>
  <si>
    <t>Healthcare, Education, Public Policy, Community Development, Affordable Housing, Climate Change Mitigation, Economic Development, Housing Security, Social Welfare, Civil Rights, Arts, Basic Science, Environmental Conservation, Human Rights, Disaster Relief</t>
  </si>
  <si>
    <t>United States, United Kingdom, Japan, Australia, China, India, Brazil, Mexico, Indonesia, South Korea, Turkey, Pakistan, Bangladesh, South Africa, Russia, New Zealand, Nigeria, Chile, Argentina, Colombia</t>
  </si>
  <si>
    <t>Nonprofit organizations, Focus on social impact, Alignment with Crankstart's mission and values, Preference for multi-year commitments, Geographical focus on San Francisco Bay Area and select other regions</t>
  </si>
  <si>
    <t>Freedom West Homes, Mottu, Getir, Duffel, Monzo</t>
  </si>
  <si>
    <t>SNB Capital</t>
  </si>
  <si>
    <t>Investment Bank</t>
  </si>
  <si>
    <t>King Saud Road, Regional Building P.O. Box 22216, 11495 Riyadh</t>
  </si>
  <si>
    <t>Riyadh</t>
  </si>
  <si>
    <t>https://snbcapital.com/</t>
  </si>
  <si>
    <t>https://www.linkedin.com/company/snbcapital/</t>
  </si>
  <si>
    <t>info@snbcapital.com</t>
  </si>
  <si>
    <t>+966 11 279 8888</t>
  </si>
  <si>
    <t>SNB Capital, established in 2007 as the investment banking and asset management arm of the Saudi National Bank, has grown to become the largest asset manager in Saudi Arabia, with over SAR 260 billion (USD 69.3 billion) in assets under management as of March 2024. The firm offers a diverse range of services, including asset management, wealth management, securities services, investment banking, and principal investments, catering to both institutional and retail clients.  The company has been instrumental in transforming the Saudi capital markets, having closed 100 investment banking transactions since its inception in 2021, with a combined value exceeding SAR 750 billion (USD 200 billion). Notable deals include the SAR 42.10 billion (USD 11.23 billion) fully marketed offering for Saudi Aramco and the SAR 3.86 billion (USD 1.03 billion) accelerated book-building transaction in Saudi Telecom Company. SNB Capital's strategic alliance with BNY Mellon has further enhanced its global securities services capabilities, providing integrated solutions to institutional and large asset owners in the Kingdom. The firm's commitment to innovation and client-centric solutions continues to drive its growth and influence in the regional financial sector.</t>
  </si>
  <si>
    <t>Equity, Fixed Income, Private Equity, Real Estate, Commodities, Infrastructure, Hedge Funds, Venture Capital, Crypto, ESG and Impact Investing</t>
  </si>
  <si>
    <t>Technology, Healthcare, Energy, Real Estate, Infrastructure, Banking, Finance, Asset Management, Investment Management, Private Equity, Crypto, Venture Capital, Hedge Funds, Commodities, ESG and Impact Investing</t>
  </si>
  <si>
    <t>United States, United Kingdom, Canada, Germany, Japan, Australia, China, India, France, United Arab Emirates, South Korea, Saudi Arabia, Qatar, Kuwait, Oman, Egypt, Lebanon, Bahrain, Pakistan, Jordan, Iraq</t>
  </si>
  <si>
    <t>Shariah-compliant investments, Diversified portfolios, Long-term value creation, Sustainable growth strategies, Risk-adjusted returns, Global market exposure, Tailored financial solutions, Expert portfolio management, Strategic insights, Comprehensive investment banking services</t>
  </si>
  <si>
    <t>Saudi Aramco, Saudi Telecom Company, Repsol E&amp;P, Amanat Holdings, Edmond de Rothschild Group, Watar Partners</t>
  </si>
  <si>
    <t>Khwarizmi Ventures</t>
  </si>
  <si>
    <t>P.O. Box 9691, Abu Hafs bn Burd Street, Dammam</t>
  </si>
  <si>
    <t>Eastern Province</t>
  </si>
  <si>
    <t>https://www.khwarizmivc.com/</t>
  </si>
  <si>
    <t>https://www.linkedin.com/company/khwarizmivc</t>
  </si>
  <si>
    <t>info@khwarizmivc.com</t>
  </si>
  <si>
    <t>+966 13 8453472</t>
  </si>
  <si>
    <t>Khwarizmi Ventures is a Saudi-based venture capital firm investing in early-stage startups in the Middle East and North Africa (MENA) region. Since its launch in 2018, the firm has seed-funded notable startups, assisted various founders, and scaled multiple regional companies. By enabling algorithms that will change the future and aiding foremost companies of tomorrow in accelerating their reach to their full potential, Khwarizmi Ventures aims to be the preferred partner of exceptional entrepreneurs building disruptive startups in the MENA region. The firm has established vast networks and rich experiences in the MENA region and is pursuing scalable opportunities and novel ideas to solve the problems of today's ever-changing world. Khwarizmi Ventures focuses on sectors such as technology, healthcare, fintech, e-commerce, edtech, logistics, media, consumer goods, energy, agriculture, real estate, telecommunications, transportation, tourism, and education.     The firm invests in companies at the seed and Series A stages, with investment sizes ranging from $1 million to $5 million. The geographical focus includes countries such as Saudi Arabia, United Arab Emirates, Qatar, Kuwait, Bahrain, Oman, Egypt, Jordan, Lebanon, Iraq, Algeria, Morocco, Tunisia, Libya, Sudan, Yemen, Syria, Lebanon, Palestine, and Mauritania. The industries of interest encompass technology, healthcare, fintech, e-commerce, edtech, logistics, media, consumer goods, energy, agriculture, real estate, telecommunications, transportation, tourism, and education. The firm has invested in companies like Alma Health, a digital health platform that simplifies the lives of people with chronic conditions and those who care for them, and Calo, a tech-enabled platform that provides nutritious meals through a subscription. Khwarizmi Ventures is committed to being the partner of choice for entrepreneurs aiming to become regional and global champions.</t>
  </si>
  <si>
    <t>Technology, Healthcare, Energy, Consumer Goods, Real Estate, Telecommunications, Media, Education, Agriculture, HealthTech, FoodTech, EdTech, FinTech, E-commerce, Logistics, Transportation, AgriTech, InsurTech, Entertainment, Proptech, Mobility, Cleantech, Tourism, MarTech, TravelTech</t>
  </si>
  <si>
    <t>United Arab Emirates, Saudi Arabia, Qatar, Kuwait, Oman, Egypt, Tunisia, Libya, Morocco, Algeria, Lebanon, Bahrain, Pakistan, Jordan, Iraq, Palestine, Sudan, Mauritania, Yemen, Syria</t>
  </si>
  <si>
    <t>Proven traction in the MENA region, Scalable business models, Innovative solutions addressing market needs, Strong founding teams with a clear vision, Scalable business model, Strong founding team with relevant expertise, Clear path to profitability, Alignment with Khwarizmi Ventures' values and investment thesis</t>
  </si>
  <si>
    <t>Calo, Aya, Tamara, Salla, Nowlun, ShipBlu, Muqbis, Faceki, Nour El-Shaeri, BrevDev, Termii, Alma Health</t>
  </si>
  <si>
    <t>Liberty City Ventures</t>
  </si>
  <si>
    <t>130 5th Ave, 5th Floor, New York, NY 10011</t>
  </si>
  <si>
    <t>https://www.libertycityventures.com</t>
  </si>
  <si>
    <t>https://www.linkedin.com/company/liberty-city-ventures</t>
  </si>
  <si>
    <t>info@libertycityventures.com</t>
  </si>
  <si>
    <t>(212) 201-5800</t>
  </si>
  <si>
    <t>Liberty City Ventures is a venture capital fund and incubator headquartered in New York City, established in 2012. The firm specializes in seed-stage investments, focusing on startups at the intersection of technology, media, and commerce. With over $1.5 billion in assets under management, Liberty City Ventures has co-founded and incubated two unicorns in the blockchain sector: Paxos and Lukka. The firm invests in companies building blockchain technology solutions and those implementing blockchain technology, with a particular emphasis on fintech, Web 3.0, gaming, the metaverse, and supply chain logistics. Liberty City Ventures offers investments ranging from $250K to over $100M, providing not only capital but also value-added services in public relations, marketing, management, and operations to support the growth of its portfolio companies. The firm's portfolio includes companies such as Paxos, Lukka, MPCH, Reposite, Cleary, Lean Technologies, Animoca Brands, and Fuze. Liberty City Ventures has a global investment focus, with a particular emphasis on the United States, Bermuda, Canada, Germany, Hong Kong, Israel, Pakistan, Saudi Arabia, Switzerland, United Arab Emirates, United Kingdom, and the Virgin Islands (British).</t>
  </si>
  <si>
    <t>Crypto, Venture Capital</t>
  </si>
  <si>
    <t>Financial Services, FinTech, E-commerce, SaaS, Artificial Intelligence, Metaverse, Gaming, Cybersecurity, Blockchain Technology, Big Data &amp; Analytics, Data, IoT (Internet of Things), Web 3.0, Supply Chain Logistics, Regulatory Tech</t>
  </si>
  <si>
    <t>United States, United Kingdom, Canada, Germany, Hong Kong, United Arab Emirates, Switzerland, Saudi Arabia, Pakistan, Israel, Bermuda, Virgin Islands (British)</t>
  </si>
  <si>
    <t>Companies building blockchain technology solutions, Companies implementing blockchain technology, Startups in fintech, Web 3.0, gaming, metaverse, and supply chain logistics sectors</t>
  </si>
  <si>
    <t>Paxos, Lukka, MPCH, Reposite, Cleary, Lean Technologies, Animoca Brands, Fuze</t>
  </si>
  <si>
    <t>Ruya Partners</t>
  </si>
  <si>
    <t>301, 15th Floor, Al Sarab Tower, ADGM Square, Al Maryah Island</t>
  </si>
  <si>
    <t>https://ruyapartners.com/</t>
  </si>
  <si>
    <t>https://www.linkedin.com/company/ruya-partners</t>
  </si>
  <si>
    <t>info@ruyapartners.com</t>
  </si>
  <si>
    <t>+971 2 672 8888</t>
  </si>
  <si>
    <t>Ruya Partners, established in 2020, is an independent private credit firm based in Abu Dhabi, United Arab Emirates. The firm specializes in providing flexible funding solutions to private sector companies in developing markets, particularly targeting small to medium-sized enterprises (SMEs) that are underserved by traditional financing markets. Ruya Partners aims to bridge the significant funding gap in these regions by offering bespoke financing solutions that support economic growth, diversification, and the advancement of regional socio-economic agendas.  The firm's investment approach focuses on companies with strong business fundamentals, cash-generating capabilities, and proven management teams with a demonstrated track record of successful execution. Ruya Partners' capital is typically used to finance growth, acquisitions, recapitalize company balance sheets, or rationalize the existing investor base, among other general corporate purposes. The firm is regulated by the Abu Dhabi Global Market (ADGM) Financial Services Regulatory Authority and is licensed to manage collective investment funds. Ruya Partners is committed to integrating Environmental, Social, and Governance (ESG) factors into its investment process, aligning with international ESG best practice standards adapted for the Middle East and North Africa (MENA) region, including the Principles for Responsible Investment (PRI) Principles, the Sustainability Accounting Standards Board (SASB) Standards, and the recommendations of the Task Force on Climate-Related Financial Disclosures (TCFD).</t>
  </si>
  <si>
    <t>Private Equity, Venture Capital, Fixed Income (Debt and Bonds)</t>
  </si>
  <si>
    <t>Financial Services, Technology, Healthcare, Energy, Consumer Goods, Real Estate, Infrastructure, Telecommunications, Media, Retail, Education, Agriculture, Logistics, Transportation, Manufacturing</t>
  </si>
  <si>
    <t>India, United Arab Emirates, Indonesia, Saudi Arabia, Qatar, Kuwait, Oman, Egypt, Lebanon, Bahrain, Turkey, Pakistan, Jordan, Bangladesh, Iraq, Vietnam, Malaysia, Philippines, Thailand, Sri Lanka</t>
  </si>
  <si>
    <t>Companies with strong business fundamentals, Proven management teams, Demonstrated track record of successful execution, Targeting small to medium-sized enterprises in developing markets, Focus on growth, acquisitions, recapitalization, or balance sheet optimization</t>
  </si>
  <si>
    <t>TruKKer Holding Limited, Epik Foods, Energia, STARZPLAY Arabia</t>
  </si>
  <si>
    <t>Jadwa Investment</t>
  </si>
  <si>
    <t>Sky Towers, 4th Floor, King Fahad Road Olaya Area, P.O. Box 60677, Riyadh</t>
  </si>
  <si>
    <t>https://www.jadwa.com</t>
  </si>
  <si>
    <t>info@jadwa.com</t>
  </si>
  <si>
    <t>+966 112 791 111</t>
  </si>
  <si>
    <t>Jadwa Investment, established in 2006, is a prominent investment management and advisory firm headquartered in Riyadh, Saudi Arabia. The firm specializes in providing Shariah-compliant investment solutions across various asset classes, including private equity, real estate, fixed income, hedge funds, infrastructure, and venture capital. With over $20 billion in client assets under management and advisement, Jadwa serves a diverse clientele comprising government entities, institutional investors, family offices, and high-net-worth individuals. The firm's investment approach is characterized by a prudent philosophy focused on long-term value creation, aiming to deliver differentiated performance to clients and support businesses in their growth and institutionalization phases. Jadwa's commitment to excellence is reflected in its recognition as Saudi Arabia's best-performing public equity manager, largest private equity investor, and largest manager of listed REITs. The firm's services encompass asset management, investment banking, research, proprietary investments, and equity brokerage, all supervised by a Shariah Supervisory Board to ensure full compliance with Islamic principles. Jadwa's dedication to social responsibility is evident through its active support for sustainable development initiatives that contribute to community and environmental well-being. By integrating economic goals with positive social impact, Jadwa strives to provide investment solutions that balance profit generation with the enhancement of societal welfare in the regions it operates.</t>
  </si>
  <si>
    <t>Private Equity, Real Estate, Fixed Income (Debt and Bonds), Hedge Funds, Infrastructure, Venture Capital</t>
  </si>
  <si>
    <t>Financial Services, Technology, Healthcare, Energy, Consumer Goods, Real Estate, Infrastructure, Telecommunications, Media, Retail, Education, Transportation, Hospitality, Manufacturing, Entertainment</t>
  </si>
  <si>
    <t>United States, Japan, Singapore, China, India, United Arab Emirates, Indonesia, South Korea, Saudi Arabia, Qatar, Kuwait, Oman, Egypt, Lebanon, Bahrain, Turkey, Pakistan, Jordan, Malaysia, Philippines, Thailand</t>
  </si>
  <si>
    <t>Shariah-compliant investments, Long-term value creation, Diversified portfolio across asset classes, Focus on sustainable and responsible investment practices, Alignment with clients' financial and social objectives</t>
  </si>
  <si>
    <t>Black Spoon Group, Tikkaway Restaurants, Gissah Perfumes Company</t>
  </si>
  <si>
    <t>GFH Financial Group</t>
  </si>
  <si>
    <t>Bahrain Financial Harbour, Manama</t>
  </si>
  <si>
    <t>BH</t>
  </si>
  <si>
    <t>http://gfh.com/</t>
  </si>
  <si>
    <t>https://www.linkedin.com/company/gfh-financial-group</t>
  </si>
  <si>
    <t>info@gfh.com</t>
  </si>
  <si>
    <t>+973 17538538</t>
  </si>
  <si>
    <t>GFH Financial Group, formerly known as Gulf Finance House, is an Islamic investment bank headquartered in Bahrain Financial Harbour, Bahrain. Established in 1999, GFH has been a key contributor to the development of regional Islamic financial institutions and infrastructure projects across the Middle East. The bank's shares are listed on the Kuwait Stock Exchange, the Bahraini Stock Exchange, the Dubai Financial Market, and the London Stock Exchange in the form of a Global Depositary Receipt (GDR).    GFH specializes in private equity and venture capital investments, focusing on sectors such as real estate, infrastructure, energy, healthcare, education, hospitality, retail, technology, telecommunications, transportation, logistics, manufacturing, agriculture, media, entertainment, consumer goods, pharmaceuticals, construction, and utilities. The bank's investment strategy encompasses various stages, including early stage, growth, late stage, buyout, and distressed investments. Geographically, GFH's investments span across the Middle East, North Africa, Europe, and Asia, with a notable presence in countries like the United Kingdom, United States, Germany, France, India, Pakistan, Malaysia, Indonesia, Singapore, China, and Australia.    Over the years, GFH has diversified its portfolio to serve some of the fastest-growing industries and defensive sectors of MENA region economies. The bank has solidified its listings in three GCC markets and expanded its operations to three GCC locations. Additionally, GFH has extended its investments to new geographic territories, including North America and Europe. Notably, GFH acquired a 25% stake in the English football club Leeds United through its wholly owned subsidiary, Dubai-based GFH Capital, in December 2012. However, in February 2014, GFH Capital announced the sale of Leeds United to Massimo Cellino's family consortium 'Eleonora Sport Ltd'.</t>
  </si>
  <si>
    <t>Growth, Late Stage, Buyout, Turnaround, Distressed, Early Stage</t>
  </si>
  <si>
    <t>Private Equity, Real Estate, Infrastructure, Healthcare, Logistics, Education, Technology, Financial Services, Energy, Telecommunications, Consumer Goods, Retail, Hospitality, Media, Transportation, Venture Capital, Fixed Income (Debt and Bonds)</t>
  </si>
  <si>
    <t>Financial Services, Technology, Healthcare, Energy, Consumer Goods, Real Estate, Infrastructure, Telecommunications, Utilities, Media, Retail, Education, Agriculture, Logistics, Transportation, Hospitality, Construction, Pharmaceuticals, Manufacturing, Entertainment</t>
  </si>
  <si>
    <t>United States, United Kingdom, Germany, Japan, Australia, Singapore, China, India, France, Italy, United Arab Emirates, Spain, Indonesia, South Korea, Saudi Arabia, Qatar, Kuwait, Oman, Egypt, Lebanon, Bahrain, Turkey, Pakistan, Jordan, Malaysia</t>
  </si>
  <si>
    <t>Focus on private equity and asset management opportunities, Preference for investments in the Middle East, North Africa, and select international markets, Interest in sectors such as real estate, infrastructure, healthcare, logistics, education, technology, energy, telecommunications, consumer goods, retail, hospitality, media, transportation, and manufacturing, Willingness to engage in growth, late-stage, buyout, turnaround, and distressed investment opportunities, Islamic compliance, Focus on private equity and venture capital investments, Interest in sectors such as real estate, infrastructure, energy, healthcare, education, hospitality, retail, technology, telecommunications, transportation, logistics, manufacturing, agriculture, media, entertainment, consumer goods, pharmaceuticals, construction, and utilities, Geographical focus on the Middle East, North Africa, Europe, and Asia, Willingness to engage in various investment stages, including early stage, growth, late stage, buyout, and distressed investments</t>
  </si>
  <si>
    <t>Khaleeji Commercial Bank, Philadelphia Private School, Dubai, Leeds United Football Club, Cemena Investment Company, Al Basha’er GCC Equity Fund, Injazat Technology Fund, Diversified US Residential Portfolio, USA, 42 Queens Gate Gardens, UK and Gulf Atlantic Real Estate, UK, SQ Asset Management, USA, Big Sky Asset Management, USA, Roebuck, USA, Britus Education, USA, GFH Partners, USA, Khaleeji Bank, Bahrain, First Energy Bank, QInvest, GFH Capital, GFH Properties, GFH Real Estate, GFH Healthcare, GFH Education, GFH Hospitality, GFH Retail, GFH Technology, GFH Telecommunications, GFH Transportation, GFH Logistics, GFH Manufacturing, GFH Agriculture, GFH Media, GFH Entertainment, GFH Consumer Goods</t>
  </si>
  <si>
    <t>stc Group</t>
  </si>
  <si>
    <t>Corporate VC</t>
  </si>
  <si>
    <t>King Saud Road, Riyadh</t>
  </si>
  <si>
    <t>https://www.stc.com.sa</t>
  </si>
  <si>
    <t>https://www.linkedin.com/company/stcgroup</t>
  </si>
  <si>
    <t>info@stc.com.sa</t>
  </si>
  <si>
    <t>+966 11 455 5555</t>
  </si>
  <si>
    <t>stc Group, established in 1998, is the largest telecommunications and digital services provider in Saudi Arabia, offering a comprehensive range of services including mobile, internet, and digital solutions. The company operates as a conglomerate, managing various subsidiaries and joint ventures across the Middle East and North Africa. stc Group has a strong presence in the ICT sector, leading in both consumer and enterprise segments. The company is committed to driving digital transformation and economic diversification in line with Saudi Arabia's Vision 2030.  In recent years, stc Group has expanded its investment activities through its corporate venture capital arm, Tali Ventures, which focuses on early to growth-stage startups in sectors such as artificial intelligence, financial technology, cloud computing, and cybersecurity. Tali Ventures has invested in companies like Nile, Rewaa, NearPay, and NorthLadder, aiming to foster innovation and support the growth of the digital ecosystem. Additionally, stc Group has launched the Corporate Investment Fund (CIF) to invest in early-stage startups in areas including fintech, cybersecurity, artificial intelligence, digital gaming, IoT, and blockchain, further solidifying its role as a key player in the region's digital economy.  stc Group's strategic investments also include a 9.97% stake in Telefónica, a leading global telecommunications company, reflecting its commitment to expanding its international footprint and influence in the global telecom industry. The company continues to explore opportunities to enhance its portfolio and contribute to the advancement of digital services both locally and internationally.</t>
  </si>
  <si>
    <t>Seed, Early Stage, Growth, Late Stage, Pre-IPO, Buyout, Turnaround, Distressed</t>
  </si>
  <si>
    <t>Healthcare, Telecommunications, Media, Artificial Intelligence, Financial Technology, Gaming, Digital Media, Entertainment, Cybersecurity, Information Technology, Cloud Computing, Internet of Things, Consumer Electronics, Digital Infrastructure, Digital Payments</t>
  </si>
  <si>
    <t>United States, United Kingdom, Germany, India, France, United Arab Emirates, Saudi Arabia, Qatar, Kuwait, Oman, Egypt, Lebanon, Bahrain, Turkey, Pakistan, Jordan, Iraq, Palestine, Yemen, Syria</t>
  </si>
  <si>
    <t>Focus on early to growth-stage startups, Alignment with stc Group's strategic objectives, Potential for significant impact in the digital ecosystem, Strong management teams, Innovative business models, Scalability and growth potential, Commitment to technological advancement, Alignment with Saudi Arabia's Vision 2030</t>
  </si>
  <si>
    <t>Nile, Rewaa, Nearpay, NorthLadder</t>
  </si>
  <si>
    <t>FMO</t>
  </si>
  <si>
    <t>Anna van Saksenlaan 71, 2593 HW The Hague</t>
  </si>
  <si>
    <t>South Holland</t>
  </si>
  <si>
    <t>NL</t>
  </si>
  <si>
    <t>https://www.fmo.nl/</t>
  </si>
  <si>
    <t>https://nl.linkedin.com/company/fmo</t>
  </si>
  <si>
    <t>info@fmo.nl</t>
  </si>
  <si>
    <t>+31 70 314 96 96</t>
  </si>
  <si>
    <t xml:space="preserve">FMO is the Dutch entrepreneurial development bank, established in 1970, dedicated to fostering sustainable private sector growth in developing and emerging markets. Operating as a commercial entity with a triple-A rating from Standard &amp; Poor's and Fitch Ratings, FMO manages funds for the Dutch Ministries of Foreign Affairs and Economic Affairs to maximize the development impact of private sector investments. As of December 2024, the bank's total assets were €11.10 billion (US$12.3 billion), with shareholders' equity of €3.45 billion (US$3.82 billion).    FMO's investment strategy focuses on three core sectors: Energy, Financial Institutions, and Agribusiness, Food and Water. The bank provides a range of financial products, including equity financing, loans, trade finance, and credit guarantees, to companies and financial institutions in developing countries. By investing in these sectors, FMO aims to enhance food security, support sustainability, and promote inclusive development. The bank's approach emphasizes high international standards concerning environmental and social responsibility, ensuring that investments contribute positively to local communities and economies.    Through its investments, FMO seeks to demonstrate that strong financial returns and positive impact in developing economies can go hand-in-hand. The bank's portfolio includes a diverse range of industries, such as financial services, energy, agribusiness, food and water, infrastructure, housing, healthcare, education, technology, telecommunications, transportation, manufacturing, retail, real estate, and tourism. FMO's commitment to sustainable development is evident in its support for projects that generate jobs, provide income, and strengthen the private sector in the regions where it operates.    </t>
  </si>
  <si>
    <t>Private Equity, Venture Capital, Fixed Income (Debt and Bonds), Infrastructure, Real Estate</t>
  </si>
  <si>
    <t>Financial Services, Technology, Healthcare, Energy, Real Estate, Infrastructure, Telecommunications, Retail, Education, Renewable Energy, Transportation, Manufacturing, Food Production, Tourism, Transport, Services, Housing, Clean Technology, Agribusiness, Water, Financial Institutions, Telecom &amp; ICT, Water &amp; Waste, Sanitation, Hygiene, Food &amp; Water</t>
  </si>
  <si>
    <t>China, India, Brazil, Mexico, Indonesia, Ghana, Kenya, Egypt, Tunisia, Morocco, Algeria, Pakistan, Jordan, Bangladesh, South Africa, Vietnam, Malaysia, Afghanistan, Bosnia and Herzegovina, Niger, Sudan, Mali, Chad, Ethiopia, Djibouti, Mauritania, Yemen, Philippines, Kosovo, Nigeria, Rwanda, Zambia, Argentina, Colombia, Peru, Comoros, Sao Tome and Principe, Uganda, Tanzania, Burundi, South Sudan, Mauritius, Sri Lanka, Nepal, Bhutan, Myanmar, Cambodia, Laos, El Salvador, Bolivia, Panama, Venezuela, Dominican Republic, Costa Rica, Cameroon, Senegal, Côte d'Ivoire, Mozambique, Angola, North Macedonia, Albania, Moldova, Armenia, Ecuador, Paraguay, Guatemala, Honduras, Nicaragua, Uzbekistan, Kyrgyzstan, Papua New Guinea, Jamaica, Benin, Zimbabwe, Gabon, Botswana, Namibia, Malawi, Sierra Leone, Liberia, Burkina Faso, Central African Republic, Gambia, Guinea, Guinea-Bissau, Guyana, Kiribati, Lesotho, Madagascar, Solomon Islands, Suriname, Togo, Vanuatu, West Bank and Gaza</t>
  </si>
  <si>
    <t>Focus on sustainable projects in developing and emerging markets, Alignment with FMO's sectors of interest: financial institutions, energy, agribusiness, food &amp; water, Commitment to positive environmental and social impact, Ability to meet international environmental, social, and governance standards, Projects that contribute to economic and social development, job creation, and climate action, Projects must align with FMO's core sectors: Energy, Financial Institutions, and Agribusiness, Food and Water., Investments should demonstrate positive environmental and social impact., Projects must be located in developing and emerging markets., FMO seeks investments that offer both financial returns and development impact.</t>
  </si>
  <si>
    <t>Yoco, WWF, Amref Flying Doctors, Philips Medical Systems B.V., OAPAS, Climate Fund Managers, Climate Investor One, Climate Investor Two, MASSIF, DFCD, MFF, Electri-FI, Agri-FI, Electri-FI Country, NASIRA, FMO Ventures Program, Ventures 2 Program, TDB, Atradius DSB, FMO Investment Management B.V., Genneia, Proparco, TouchWind, Ecorus Group, Windkoepel Groen (WKG), N-Sea, MPC Energy Solutions (MPCES), Pels Rijcken &amp; Drooglever Fortuijn, Reggeborgh Group, NN Investment Partners B.V., BAM PPP PGGM Infrastructure Cooperatie, Alwel, De Alliantie, Ymere</t>
  </si>
  <si>
    <t>Shuaa Partners</t>
  </si>
  <si>
    <t>The H Hotel Dubai, Office Tower, 15th Floor, Office No. 1502, P.O. Box 31045, Dubai</t>
  </si>
  <si>
    <t>https://www.shuaa.com</t>
  </si>
  <si>
    <t>https://www.linkedin.com/company/shuaa-capital</t>
  </si>
  <si>
    <t>info@shuaa.com</t>
  </si>
  <si>
    <t>+971 4 330 3600</t>
  </si>
  <si>
    <t>Shuaa Partners, established in 2006, is the private equity arm of Shuaa Capital psc, a leading regional investment banking institution based in Dubai, United Arab Emirates. The firm specializes in managing and advising private equity funds across a diverse range of industry sectors, including real estate, infrastructure, energy, healthcare, technology, and consumer goods. Shuaa Partners focuses on investments primarily in the Middle East and North Africa (MENA) region, with a particular emphasis on the Gulf Cooperation Council (GCC) countries, as well as select opportunities in Turkey, Pakistan, India, China, and select Western markets. The firm has a strong track record of successful transactions in the Arab markets, with its first fund, Shuaa Partners Fund I, L.P., closing with $200 million of commitments in September 2005. This fund aimed to achieve capital appreciation through selected investments in the GCC countries, Lebanon, Jordan, and Egypt. Shuaa Partners operates under the regulatory framework of the Dubai International Financial Centre (DIFC), having received a license from the Dubai Financial Services Authority (DFSA) in 2006. This license underscores the firm's commitment to adhering to international standards and best practices in private equity investment. The firm's investment strategy is characterized by a hands-on approach, actively engaging with portfolio companies to drive growth and value creation. Shuaa Partners has a history of successful exits, including the sale of its entire stake in Rotana Hotel Management Corporation in 2010, which generated a strong return for the fund's limited partners. The firm's team comprises experienced professionals with deep regional knowledge and a strong network, enabling them to identify and capitalize on attractive investment opportunities in the MENA region and beyond. Shuaa Partners continues to build on Shuaa Capital's legacy as one of the oldest private equity investors in the MENA region, leveraging its investment experience to deliver value to its investors and portfolio companies.</t>
  </si>
  <si>
    <t>Growth, Late Stage, Buyout, Turnaround, Distressed</t>
  </si>
  <si>
    <t>Private Equity, Real Estate, Infrastructure, Fixed Income (Debt and Bonds), Hedge Funds, Venture Capital</t>
  </si>
  <si>
    <t>Financial Services, Technology, Healthcare, Energy, Consumer Goods, Real Estate, Infrastructure, Telecommunications, Media, Retail, Education, Transportation, Hospitality, Pharmaceuticals, Manufacturing</t>
  </si>
  <si>
    <t>United States, United Kingdom, Germany, Australia, China, India, France, Italy, United Arab Emirates, Spain, Saudi Arabia, Qatar, Kuwait, Oman, Egypt, Lebanon, Bahrain, Turkey, Pakistan, Jordan</t>
  </si>
  <si>
    <t>Focus on private equity investments in the MENA region and select Western markets, Preference for growth, late-stage, buyout, turnaround, and distressed investment opportunities, Interest in a diverse range of industries, including real estate, infrastructure, energy, healthcare, technology, and consumer goods, Active involvement in portfolio companies to drive growth and value creation, Adherence to international standards and best practices in private equity investment, Alignment with Shuaa Capital's legacy and commitment to the MENA region</t>
  </si>
  <si>
    <t>Rotana Hotel Management Corporation</t>
  </si>
  <si>
    <t>Stride Ventures</t>
  </si>
  <si>
    <t>3B, Tower 4B, DLF Corporate Park, Mehrauli-Gurgaon Road, Garden Estate, DLF Phase 3, Sector 24, Gurugram, Haryana 122002</t>
  </si>
  <si>
    <t>Haryana</t>
  </si>
  <si>
    <t>IN</t>
  </si>
  <si>
    <t>https://www.strideventures.global/</t>
  </si>
  <si>
    <t>https://www.linkedin.com/company/strideventures</t>
  </si>
  <si>
    <t>compliance@strideone.in</t>
  </si>
  <si>
    <t>Stride Ventures, founded in 2019, is a leading venture capital firm based in India, specializing in providing non-dilutive funding solutions to startups across various sectors and stages. With a strong presence in India, the Gulf Cooperation Council, Southeast Asia, and the United Kingdom, Stride Ventures has committed over $1 billion to more than 180 portfolio companies, including 17 unicorns. The firm's investment focus includes large addressable markets, sponsor-backed ventures, favorable unit economics, and sector leaders. Stride Ventures offers structured debt solutions that prioritize entrepreneurs, enabling them to maintain business sovereignty while achieving sustainable growth. The firm's portfolio spans multiple industries, including consumer, fintech, agri-tech, B2B commerce, health-tech, B2B SaaS, mobility &amp; energy solutions (EV), education, media &amp; entertainment, retail, manufacturing, logistics, real estate, hospitality, and food &amp; beverage. Stride Ventures has raised multiple funds, with the third fund closing at $165 million in May 2024, supported by a diverse mix of investors, including insurance companies, family offices, corporate treasuries, and high-net-worth individuals. The firm's commitment to responsible investing is evident through its adherence to the Principles of Responsible Investment (PRI), ensuring alignment with sustainable and ethical practices. Stride Ventures continues to empower entrepreneurs by offering tailored alternative funding solutions that support their growth journey while ensuring they maintain business sovereignty.</t>
  </si>
  <si>
    <t>Venture Capital, Private Equity, Fixed Income (Debt and Bonds)</t>
  </si>
  <si>
    <t>Real Estate, Retail, Education, Consumer, Logistics, Hospitality, Manufacturing, Food &amp; Beverage, Fin-tech, B2B SaaS, Media &amp; Entertainment, Health-tech, Agri-Tech, B2B Commerce, Mobility &amp; Energy Solutions (EV)</t>
  </si>
  <si>
    <t>United States, United Kingdom, Singapore, India, United Arab Emirates, Indonesia, Pakistan, Bangladesh, Vietnam, Malaysia, Afghanistan, Philippines, Thailand, Maldives, Sri Lanka, Nepal, Bhutan, Myanmar, Cambodia, Laos</t>
  </si>
  <si>
    <t>Entrepreneur-centric culture, Integrity, Stewardship, Goodwill, Ingenuity, Inclusivity</t>
  </si>
  <si>
    <t>Zepto, Sugar Cosmetics, Lohum, BlueStone, Moneyview, Moove, Foxtale, CureSkin, NewMe, Nat Habit, AgroStar</t>
  </si>
  <si>
    <t>Ishana Capital Limited</t>
  </si>
  <si>
    <t>Suite 1401-1402, 14/F, Ruttonjee House, 11 Duddell Street</t>
  </si>
  <si>
    <t>Central District</t>
  </si>
  <si>
    <t>HK</t>
  </si>
  <si>
    <t>https://ishanacapital.com/</t>
  </si>
  <si>
    <t>IR@ishanacapital.com</t>
  </si>
  <si>
    <t>+852 3793 3010</t>
  </si>
  <si>
    <t>Ishana Capital Limited is a private equity firm based in Hong Kong, specializing in investments across emerging Asia. The firm seeks businesses with long-term growth potential, led by exceptional management teams, and typically invests over a 3-10 year horizon. Their portfolio spans various industries, including technology, healthcare, consumer goods, and financial services. Ishana Capital is committed to delivering superior risk-adjusted returns by leveraging its deep regional expertise and disciplined investment approach. The firm maintains a strong research capability and a personalized service model to build long-term relationships with its clients, assisting them in achieving their financial objectives.</t>
  </si>
  <si>
    <t>Financial Services, Technology, Healthcare, Energy, Consumer Goods, Real Estate, Telecommunications, Media, Retail, Education, Agriculture, Industrial, Logistics, Transportation, Tourism</t>
  </si>
  <si>
    <t>Hong Kong, Singapore, China, India, Indonesia, Pakistan, Bangladesh, Vietnam, Mongolia, Malaysia, Philippines, Thailand, Maldives, Sri Lanka, Nepal, Myanmar, Cambodia, Laos, Brunei, Timor-Leste</t>
  </si>
  <si>
    <t>Businesses with long-term growth potential, Exceptional management teams, Investment horizon of 3-10 years</t>
  </si>
  <si>
    <t>Mirae Asset-Naver Asia Growth Fund</t>
  </si>
  <si>
    <t>12F, Tower 1, 33, Jong-ro, Jongno-gu, Seoul</t>
  </si>
  <si>
    <t>Seoul</t>
  </si>
  <si>
    <t>KR</t>
  </si>
  <si>
    <t>https://pe.miraeasset.com/</t>
  </si>
  <si>
    <t>pvaitagency@gmail.com</t>
  </si>
  <si>
    <t>Mirae Asset-Naver Asia Growth Fund is a joint venture between Seoul-based Mirae Financial Group and Naver, focusing on investments in Asian technology companies. The fund aims to identify and support high-growth potential startups across various sectors, including e-commerce, fintech, healthcare, and consumer goods. By leveraging the combined expertise and networks of Mirae Asset and Naver, the fund seeks to foster innovation and drive economic growth within the region. The fund's strategic approach involves providing capital, mentorship, and resources to early-stage companies, enabling them to scale and succeed in competitive markets. Through its investments, Mirae Asset-Naver Asia Growth Fund contributes to the development of a robust and dynamic technology ecosystem in Asia, supporting the next generation of industry leaders and innovators.</t>
  </si>
  <si>
    <t>Seed, Early Stage, Series A, Series B, Growth, Late Stage</t>
  </si>
  <si>
    <t>Technology, Healthcare, Consumer Goods, Media, Education, EdTech, FinTech, E-commerce, Logistics, Artificial Intelligence, Blockchain, Entertainment, Cybersecurity, Agtech, Clean Energy</t>
  </si>
  <si>
    <t>Japan, Singapore, China, India, Indonesia, South Korea, Pakistan, Bangladesh, Vietnam, Mongolia, Malaysia, Philippines, Thailand, Maldives, Sri Lanka, Nepal, Myanmar, Cambodia, Laos, Brunei</t>
  </si>
  <si>
    <t>Strong growth potential, Innovative business models, Scalable operations, Experienced management teams, Clear market differentiation, Ability to expand regionally or globally, Commitment to sustainable practices, Alignment with Mirae Asset and Naver's strategic interests, Potential for significant return on investment, Compliance with local regulations and standards</t>
  </si>
  <si>
    <t>Coupang, Kakao, NCSOFT, LINE Corporation, Yanolja, Baemin, Toss, Carrot Market, Musinsa, Viva Republica, Woowa Brothers, Kakao Mobility, Kakao Games, Kakao Pay, Kakao Bank, Kakao M, Kakao Page, Kakao T, Kakao Friends, Kakao Enterprise</t>
  </si>
  <si>
    <t>Turmeric Capital</t>
  </si>
  <si>
    <t>Singapore</t>
  </si>
  <si>
    <t>Central Region</t>
  </si>
  <si>
    <t>https://www.tcap.com/</t>
  </si>
  <si>
    <t>https://www.linkedin.com/company/turmeric-capital/</t>
  </si>
  <si>
    <t>info@tcap.com</t>
  </si>
  <si>
    <t>Turmeric Capital is an Asia-centric private equity firm specializing in consumer sectors, focusing on brand building, operations, and investments. The firm invests in exceptional businesses and entrepreneurs, offering flexibility across growth and buyout transactions. Their approach includes a Growth Fund targeting emerging brands in the GCC/MENA, South-East Asia, and India, and Strategic Opportunities aimed at building iconic global brands. Turmeric Capital has deployed over $1.5 billion in direct deals in recent years, with interests in sectors such as luxury goods, hospitality, food &amp; beverage, lifestyle, and aviation. The firm is headquartered in Singapore and operates in various countries across Asia and the Middle East.</t>
  </si>
  <si>
    <t>Growth, Buyout</t>
  </si>
  <si>
    <t>Hospitality, Luxury Goods, Food &amp; Beverage, Aviation, Lifestyle</t>
  </si>
  <si>
    <t>Singapore, India, United Arab Emirates, Indonesia, Pakistan, Bangladesh, Vietnam, Malaysia, Afghanistan, Philippines, Thailand, Maldives, Sri Lanka, Nepal, Bhutan, Myanmar, Cambodia, Laos, Brunei, Timor-Leste</t>
  </si>
  <si>
    <t>Strong brand presence, Scalable business model, Experienced management team, Potential for regional or global expansion, Alignment with Turmeric Capital's strategic focus areas</t>
  </si>
  <si>
    <t>The Giving Movement, Huspy, Eyewa</t>
  </si>
  <si>
    <t>Glowfish Capital</t>
  </si>
  <si>
    <t>290 CCA Sector FF, Phase 4, DHA, Dubai</t>
  </si>
  <si>
    <t>https://www.glowfishcapital.com</t>
  </si>
  <si>
    <t>contact@glowfishventures.com</t>
  </si>
  <si>
    <t>Glowfish Capital, established in 2013 by Wim Torfs and Ali Malik, both McKinsey &amp; Co alumni, is a Dubai-based boutique venture capital firm. The firm focuses on investing in and creating early-stage companies within the Middle East and Africa, emphasizing active involvement in its ventures. Glowfish Capital provides funding, expertise, and mentoring to ambitious projects, aiming to transform them into successful businesses. The firm prefers to invest in booming industries within growing economies where opportunities are abundant but real talent is scarce. As of 2020, Glowfish Capital has invested in four companies, including CarSwitch, oladoc.com, Mobimatter, and ServiceMarket. The firm is known for its hands-on approach, offering not only capital but also strategic guidance to its portfolio companies. Glowfish Capital's investments span various sectors, including automotive, e-commerce, consumer services, fitness, healthcare, wellness, and medical e-commerce platforms. The firm's portfolio companies have achieved significant milestones, such as CarSwitch becoming one of the largest used car marketplaces in the UAE and oladoc.com becoming Pakistan's leading digital healthcare platform. Glowfish Capital's commitment to nurturing early-stage companies has contributed to the growth and success of its portfolio, reflecting its dedication to fostering innovation and entrepreneurship in the region.</t>
  </si>
  <si>
    <t>Automotive, Consumer, E-commerce, Health Care, Wellness, Fitness, Medical, E-Commerce Platforms</t>
  </si>
  <si>
    <t>United Arab Emirates, Pakistan</t>
  </si>
  <si>
    <t>Active involvement in venture operations, Focus on early-stage companies, Preference for high-growth sectors in emerging economies</t>
  </si>
  <si>
    <t>CarSwitch, oladoc.com, Mobimatter, ServiceMarket</t>
  </si>
  <si>
    <t>Peak XV Partners</t>
  </si>
  <si>
    <t>9 Straits View, Marina One West Tower, Singapore 018937</t>
  </si>
  <si>
    <t>https://www.peakxv.com/</t>
  </si>
  <si>
    <t>https://www.linkedin.com/company/peakxvpartners/</t>
  </si>
  <si>
    <t>pr@peakxv.com</t>
  </si>
  <si>
    <t>Peak XV Partners, formerly known as Sequoia Capital India &amp; Southeast Asia, is a prominent venture capital firm dedicated to supporting early-stage technology companies in India and Southeast Asia. With over 18 years of experience in India and 10 years in Southeast Asia, the firm has managed over $9 billion in capital across 13 funds and invested in more than 400 companies. Their portfolio includes approximately 40 companies with revenues exceeding $100 million.  The firm's investment strategy focuses on partnering closely with founders to enhance their chances of success. They offer a range of programs, such as Surge, Spark, Build, Pathfinders, and Guild, designed to provide capital, mentorship, and community support. Surge, for instance, is a rapid scale-up program for early-stage startups, combining up to $3 million in seed funding with company-building workshops and global immersion trips. ([surge.peakxv.com](https://surge.peakxv.com/about-surge/?utm_source=openai))  Peak XV Partners has a diverse team spanning 14 nationalities across five offices in Bangalore, Mumbai, Delhi, Singapore, and Dubai. Their ethos centers on partnering with audacious founders aiming to build enduring companies that challenge the status quo. They are committed to staying invested throughout the journey, from the initial stages to potential IPOs and beyond. ([peakxv.com](https://www.peakxv.com/about-us/?utm_source=openai))</t>
  </si>
  <si>
    <t>Seed, Early Stage, Growth, Late Stage, Pre-IPO, Buyout, Series A, Series B</t>
  </si>
  <si>
    <t>Financial Services, Technology, Healthcare, Energy, Consumer Goods, Real Estate, Telecommunications, Media, Retail, Education, Agriculture, Consumer, HealthTech, EdTech, FinTech, E-commerce, Logistics, SaaS, Transportation, Manufacturing, Tourism, AI, Cyber Security, Climate Tech, Enterprise Software, Developer Tools, Cloud Infrastructure</t>
  </si>
  <si>
    <t>Singapore, India, United Arab Emirates, Indonesia, Pakistan, Bangladesh, Vietnam, Mongolia, Malaysia, Afghanistan, Philippines, Thailand, Maldives, Sri Lanka, Nepal, Bhutan, Myanmar, Cambodia, Laos, Brunei, Timor-Leste</t>
  </si>
  <si>
    <t>Strong founder-led teams, Innovative business models, Scalable growth potential, Alignment with Peak XV's investment sectors, Strong growth potential, Innovative solutions, Scalable business models, Experienced founding teams, Clear market differentiation, Innovative technology solutions, Strong founding teams with a clear vision, Potential for significant market impact</t>
  </si>
  <si>
    <t>Supabase Inc, Minimalist, Ixigo, Truecaller, Zetwerk, Capillary, Porter, OneCard, Polygon, CoinSwitch, HealthKart, CarDekho, Cuemath, Sunrate, Slice, Openborder, Ula, Grofers, Razorpay, Ola, Cred, Byju’s, Unacademy, Mamaearth, Pine Labs, Airalo, Finster, Ten X You, Lambdatest, Tazapay, Klub, Plum, Zenyum, Aampe, Requestly, Multiplier, Convosight, Pentester Academy</t>
  </si>
  <si>
    <t>Symphony Asia Holdings Pte. Ltd.</t>
  </si>
  <si>
    <t>200 Newton Road #07-01 Newton 200 Singapore 307983</t>
  </si>
  <si>
    <t>https://symphonyasia.com/</t>
  </si>
  <si>
    <t>info@symphonyasia.com</t>
  </si>
  <si>
    <t>+65 6536 6177</t>
  </si>
  <si>
    <t>Symphony Asia Holdings is a Singapore-based private equity firm that provides opportunities for investors to gain exposure to Asia's rapidly expanding markets, primarily those in South and Southeast Asia. The firm focuses on high-growth, innovative consumer-related businesses in sectors such as healthcare, hospitality, lifestyle, branded real estate, and new economy ventures.     By partnering with talented entrepreneurs and management teams, Symphony Asia Holdings aims to capitalize on the rising disposable incomes of the region's growing middle class. The firm's investment philosophy emphasizes long-term value creation and strategic partnerships to foster business growth and development. Symphony Asia Holdings manages Symphony International Holdings Limited, a permanent capital investment vehicle listed on the London Stock Exchange under the ticker symbol SIHL.     The firm has a history of investing in key regional economies of Asia and has cultivated relationships that are key to its investment philosophy. The team is led by Anil Thadani, who has more than 40 years of experience investing in Asia. The firm's business structure allows for a long-term view of investments, enabling decisions on investing and divesting that are not influenced by restricted life-cycles. This structure provides investors with more flexibility, allowing them to liquidate or add to their positions whenever they choose.     Symphony Asia Holdings typically invests in transactions that involve growth capital for later-stage development and expansion, management buy-outs and buy-ins, restructurings, and special situations. The firm also invests in real estate development projects designed to appeal to the evolving lifestyles of Asia's increasingly wealthy demographic. The firm's shares are traded on the Main Market of the London Stock Exchange. The firm's investment manager is Symphony Asia Holdings Pte. Ltd., a Singapore-incorporated investment management company that has been granted a license by the Monetary Authority of Singapore to conduct fund management activities for accredited investors and institutional investors.     Symphony Asia Holdings Pte. Ltd. has outsourced certain services to Symphony Capital Partners Limited, a company incorporated in Hong Kong. The firm's investments span various sectors, including healthcare, hospitality, lifestyle, branded real estate, and new economy ventures, reflecting its commitment to diversifying its portfolio and capitalizing on the dynamic growth opportunities across Asia.</t>
  </si>
  <si>
    <t>Financial Services, Technology, Healthcare, Energy, Consumer Goods, Infrastructure, Telecommunications, Media, Retail, Education, Logistics, Hospitality, Lifestyle, Branded Real Estate, New Economy Ventures</t>
  </si>
  <si>
    <t>Hong Kong, Japan, Australia, Singapore, China, India, Indonesia, South Korea, Pakistan, Bangladesh, Vietnam, Malaysia, New Zealand, Philippines, Thailand, Taiwan, Sri Lanka, Nepal, Myanmar</t>
  </si>
  <si>
    <t>Focus on high-growth, innovative consumer-related businesses, Partnerships with talented entrepreneurs and management teams, Long-term value creation and strategic partnerships, Flexibility for investors to liquidate or add to positions, Investments in growth capital for later-stage development and expansion, Management buy-outs and buy-ins, Restructurings and special situations, Real estate development projects appealing to evolving lifestyles of Asia's wealthy demographic</t>
  </si>
  <si>
    <t>Melorra Jewellery, Park Outlets, Community Malls, Huajin Securities Asset Management Co., Ltd.</t>
  </si>
  <si>
    <t>IDB Infrastructure Fund II</t>
  </si>
  <si>
    <t>10th Floor, GB Corp Tower, Bahrain Financial Harbour, Manama</t>
  </si>
  <si>
    <t>Manama</t>
  </si>
  <si>
    <t>https://asmacapital.com/</t>
  </si>
  <si>
    <t>info@asmacapital.com</t>
  </si>
  <si>
    <t>+973 1710 2400</t>
  </si>
  <si>
    <t>IDB Infrastructure Fund II is a private equity fund managed by ASMA Capital Partners B.S.C.(c), a multi-fund asset management firm licensed and regulated by the Central Bank of Bahrain. The fund focuses on infrastructure projects in emerging markets, particularly in the Middle East, Asia, CIS, and Africa. It seeks investments in sectors such as Power &amp; Energy, Transportation &amp; Logistics, Telecom Infrastructure, Water &amp; Waste, and Social Infrastructure, including Education and Healthcare. The fund has committed capital of US$750 million from investors, including the Islamic Development Bank (IDB), Public Investment Fund (PIF), Public Pension Agency (PPA), Ministry of Finance of Bahrain, and Ministry of Finance of Brunei Darussalam. Notable investments include a stake in Saudi Tabreed, a leading district cooling company in Saudi Arabia, and a joint venture with Daelim Energy to acquire, develop, and manage power assets across IDB member countries. The fund's management team leverages strong networks and strategic relationships with leading business groups and governments to identify and develop investment opportunities across multiple regions.</t>
  </si>
  <si>
    <t>Infrastructure, Power &amp; Energy, Transportation &amp; Logistics, Telecom Infrastructure, Water &amp; Waste, Social Infrastructure (Education and Healthcare)</t>
  </si>
  <si>
    <t>Energy, Industrial, Transport, Telecom &amp; ICT, Water &amp; Waste, Social &amp; Health</t>
  </si>
  <si>
    <t>Asia, United Arab Emirates, Saudi Arabia, Oman, Bahrain, Pakistan, Jordan, Malaysia, Brunei Darussalam, Africa, CIS</t>
  </si>
  <si>
    <t>Focus on infrastructure projects in emerging markets, Investments in Power &amp; Energy, Transportation &amp; Logistics, Telecom Infrastructure, Water &amp; Waste, and Social Infrastructure, Committed capital of US$750 million from investors</t>
  </si>
  <si>
    <t>Saudi Tabreed, Daelim / EMA Power Investments Ltd.</t>
  </si>
  <si>
    <t>AlTouq Group</t>
  </si>
  <si>
    <t>Al Kadi Iyas, Az Zahra, Riyadh</t>
  </si>
  <si>
    <t>Ar Riyad</t>
  </si>
  <si>
    <t>https://www.altouq.com</t>
  </si>
  <si>
    <t>admin@altouq.com</t>
  </si>
  <si>
    <t>+966 11 477 0688</t>
  </si>
  <si>
    <t>AlTouq Group is a Saudi Arabian family office established in the 1970s as an investment vehicle for the AlTouq family. Over the decades, it has evolved into a sophisticated investor with a diversified portfolio spanning various asset classes, including private equity, real estate, and venture capital. The firm has a significant presence in both local and international markets, reflecting its commitment to generating global revenue streams.  The group's investment strategy encompasses a wide range of stages, from seed and early-stage investments to growth, late-stage, buyouts, turnarounds, and distressed assets. This approach allows AlTouq Group to adapt to diverse market conditions and opportunities. Geographically, the firm focuses on regions such as Saudi Arabia, the United Arab Emirates, and Pakistan, aligning with its strategic interests and expertise. The industries it invests in are varied, covering technology, real estate, healthcare, food and beverage, fitness, and wellness sectors, demonstrating its broad investment horizon and adaptability to different market dynamics.</t>
  </si>
  <si>
    <t>Technology, Healthcare, Real Estate, Food and Beverage, Wellness, Fitness</t>
  </si>
  <si>
    <t>United Arab Emirates, Saudi Arabia, Pakistan</t>
  </si>
  <si>
    <t>Strong management teams, Scalable business models, Clear growth potential, Alignment with AlTouq Group's strategic interests</t>
  </si>
  <si>
    <t>MEDZnMORE</t>
  </si>
  <si>
    <t>Folius Ventures</t>
  </si>
  <si>
    <t>1965 Broadway, Apt 17J, New York, NY 10023</t>
  </si>
  <si>
    <t>https://www.folius.ventures/</t>
  </si>
  <si>
    <t>https://www.linkedin.com/company/foliusventures</t>
  </si>
  <si>
    <t>jason@folius.ventures</t>
  </si>
  <si>
    <t>+1 (412) 651-4160</t>
  </si>
  <si>
    <t>Folius Ventures is a venture capital firm dedicated to investing in, evangelizing, and building Web3 initiatives. Founded in 2021, the firm is headquartered in New York City, United States. Folius Ventures focuses on supporting Asia Pacific and Chinese entrepreneurs, aiming to advance the Web3 ecosystem by leveraging its expertise and network to support innovative projects and visionary founders.     The team includes founder @Mapleleafcap, CFO/COO Brian Chan, Head of Ventures @Chrislulu816, Venture Partner - 2C &amp; AI @0xAikoDai, Analyst @KD2Moon, and Advisor Neil Gomes. The firm has made investments in various sectors, including FinTech, DeFi, NFTs, Infrastructure, CeFi, Gaming, Artificial Intelligence, Blockchain, Software, E-commerce, HealthTech, EdTech, AgriTech, PropTech, and Logistics. Folius Ventures has invested in companies such as Mira Network, Ancient8, and RCT Studio Inc.     The firm is committed to supporting APAC founders and is actively seeking new opportunities and collaborations to foster the growth of the Web3 ecosystem.</t>
  </si>
  <si>
    <t>Pre-Seed, Seed, Early Stage, Series A, Series B, Growth, Late Stage, Pre-IPO</t>
  </si>
  <si>
    <t>Crypto, ESG and Impact Investing, Venture Capital</t>
  </si>
  <si>
    <t>Infrastructure, Software, HealthTech, EdTech, FinTech, E-commerce, Logistics, Artificial Intelligence, Blockchain, Gaming, AgriTech, DeFi, Proptech, NFTs, CeFi</t>
  </si>
  <si>
    <t>United States, Japan, Australia, Singapore, China, India, Indonesia, South Korea, Pakistan, Bangladesh, Vietnam, Malaysia, New Zealand, Philippines, Thailand, Sri Lanka, Nepal, Myanmar, Cambodia, Laos</t>
  </si>
  <si>
    <t>Focus on Web3 initiatives, Support for APAC and Chinese entrepreneurs, Early-stage technology companies</t>
  </si>
  <si>
    <t>Mira Network, Ancient8, RCT Studio Inc</t>
  </si>
  <si>
    <t>500 Falcons</t>
  </si>
  <si>
    <t>https://500falcons.com</t>
  </si>
  <si>
    <t>info@500falcons.com</t>
  </si>
  <si>
    <t>+1 415-555-1234</t>
  </si>
  <si>
    <t>500 Falcons is a venture capital firm focused on early-stage investments in the Middle East, North Africa, and Pakistan. As part of the global 500 Startups network, 500 Falcons aims to build a sustainable funding ecosystem in the region by investing in promising new companies and founders. The firm has a target size of $30 million and focuses on seed stage investments between $50,000 and $100,000. Investment areas include e-commerce, fintech, SaaS, mobile, media, education, hardware, IoT, healthtech, edtech, proptech, agtech, cleantech, logistics, and travel.     500 Falcons plans to invest in approximately 100-200 companies, with follow-on investments of up to $500,000 in the top 20-30% of their portfolio companies. The firm is led by 500 Startups Partner Hasan Haider and aims to bridge the gap between MENA and Silicon Valley for both startups and investors. By co-investing and syndicating deals with existing funds and angels in the ecosystem, 500 Falcons seeks to encourage more investment in the region and support the development of a robust startup ecosystem.</t>
  </si>
  <si>
    <t>Media, Education, HealthTech, EdTech, FinTech, E-commerce, Logistics, SaaS, Agtech, Proptech, IoT, Cleantech, Mobile, Travel, Hardware</t>
  </si>
  <si>
    <t>United States, United Arab Emirates, Saudi Arabia, Qatar, Kuwait, Oman, Egypt, Tunisia, Libya, Morocco, Algeria, Lebanon, Bahrain, Pakistan, Jordan, Iraq, Palestine, Mauritania, Yemen, Syria</t>
  </si>
  <si>
    <t>Early-stage startups in the Middle East, North Africa, and Pakistan, Focus on e-commerce, fintech, SaaS, mobile, media, education, hardware, IoT, healthtech, edtech, proptech, agtech, cleantech, logistics, and travel sectors, Companies with scalable business models and strong growth potential, Founders with a clear vision and commitment to building sustainable businesses</t>
  </si>
  <si>
    <t>Jamalon, Tamatem, Wuzzuf, Fetchr, Edfa3ly, ShopGo</t>
  </si>
  <si>
    <t>Flat6Labs</t>
  </si>
  <si>
    <t>Dr Mohamed Sobhy Street, Flat 5 - Giza</t>
  </si>
  <si>
    <t>Giza</t>
  </si>
  <si>
    <t>https://flat6labs.com/</t>
  </si>
  <si>
    <t>https://www.linkedin.com/company/flat6labs</t>
  </si>
  <si>
    <t>info@flat6labs.com</t>
  </si>
  <si>
    <t>+20 2 3568 5856</t>
  </si>
  <si>
    <t>Established in 2011, Flat6Labs has been instrumental in nurturing the entrepreneurial ecosystem in the MENA region. With a presence in countries such as Egypt, Saudi Arabia, Bahrain, Jordan, Tunisia, Morocco, Lebanon, Iraq, UAE, Palestine, and Pakistan, the firm offers a range of programs tailored to support startups at various stages of development. Their investment sizes range from $50,000 to $500,000, focusing on sectors like Information Technology, E-commerce, FinTech, HealthTech, EdTech, Media, Entertainment, Consumer Goods, Education, Transportation, Logistics, Real Estate, Agriculture, Manufacturing, and Tourism. Over the years, Flat6Labs has invested in over 400 startups, with a combined investment value of around $35 million, creating more than 8,000 jobs across a wide range of industries. The firm manages a number of seed funds with total assets under management (AUM) exceeding $45 million, with more than 20 leading institutional investors and Limited Partners (LPs).</t>
  </si>
  <si>
    <t>Consumer Goods, Real Estate, Media, Education, Agriculture, HealthTech, EdTech, FinTech, E-commerce, Logistics, Transportation, Manufacturing, Entertainment, Information Technology, Tourism</t>
  </si>
  <si>
    <t>Saudi Arabia, Egypt, Tunisia, Morocco, Lebanon, Bahrain, Pakistan, Jordan, Iraq, Palestine, UAE</t>
  </si>
  <si>
    <t>Innovative business ideas with high growth potential, Strong and dedicated founding teams, Scalable business models, Commitment to regional and global expansion</t>
  </si>
  <si>
    <t>Harmonica, Chefaa, CuroTrip, DarDoc, Diagnio, DigiHealth SS, Docspert Health, Doctori, Ekshef, Fitlov, Maternally, MedMisr, NAWAT Health, Otida, Qubx, QuiqClaim, Sawaaid, Tobba.tn, UDAWI, Welnes</t>
  </si>
  <si>
    <t>ArkStream Capital</t>
  </si>
  <si>
    <t>Shenzhen, Guangdong</t>
  </si>
  <si>
    <t>Guangdong</t>
  </si>
  <si>
    <t>https://www.arkstream.capital/</t>
  </si>
  <si>
    <t>info@arkstream.capital</t>
  </si>
  <si>
    <t>ArkStream Capital is a venture capital firm focused on digital infrastructure and emerging financial technologies, investing across both equity and digital assets. Their dual-track model supports high-potential enterprises from early to growth stages. They specialize in the global financial ledgerization of crypto, with core interests in infrastructure, real-world asset tokenization, and innovative financial applications. ArkStream has backed more than 100 companies, including industry leaders such as Aave, Filecoin, Ethena, Etherfi, Sei, and Space and Time. Their limited partners include major Asian family offices and publicly listed companies, providing long-term capital stability and strategic resources. The team brings experience from MIT, Stanford, Tencent, Google, and BlackRock, combining deep technology expertise with traditional finance. With over eight years of digital asset investment experience worldwide, they support portfolio companies on fundraising, financial model design, and global expansion.</t>
  </si>
  <si>
    <t>Crypto, Digital Assets, Blockchain, Web3, Decentralized Finance, Non-Fungible Tokens, Infrastructure Projects</t>
  </si>
  <si>
    <t>Technology, Infrastructure, Media, Software, FinTech, E-commerce, Cryptocurrency, Blockchain, Digital Assets, Decentralized Finance, Gaming, Entertainment, Internet, Web3, Non-Fungible Tokens</t>
  </si>
  <si>
    <t>United States, Hong Kong, Japan, Australia, Singapore, China, India, Indonesia, South Korea, Pakistan, Bangladesh, Vietnam, Malaysia, Philippines, Thailand, Sri Lanka, Nepal, Myanmar, Cambodia, Laos</t>
  </si>
  <si>
    <t>Strong growth potential, Innovative technology, Experienced management team, Scalable business model, Clear market differentiation, Alignment with ArkStream's strategic focus areas</t>
  </si>
  <si>
    <t>Aave, Filecoin, Ethena, Etherfi, Sei, Space and Time, Enjinstarter, Calaxy, Ternoa, Duet Protocol, Lever Network, Dora Factory, Portal, Efinity, Hopr, Pontem Network, Matterless, Mercurial, Polkadot, Secret Network</t>
  </si>
  <si>
    <t>AVstar Capital</t>
  </si>
  <si>
    <t>Jakarta, Jakarta Raya</t>
  </si>
  <si>
    <t>Jakarta Raya</t>
  </si>
  <si>
    <t>ID</t>
  </si>
  <si>
    <t>https://avstarcapital.co/</t>
  </si>
  <si>
    <t>contact@avstarcapital.co</t>
  </si>
  <si>
    <t>AVstar Capital is a venture capital firm based in Jakarta, Indonesia, specializing in early-stage investments in digital assets and blockchain technology. Founded in 2016, the firm has invested in over 100 projects, with valuations exceeding $20 million. Their focus areas include Decentralized Finance (DeFi), Web 3.0 infrastructure, and NFTs &amp; Gaming. AVstar Capital emphasizes a community-driven investment approach, leveraging a wide network within Southeast Asia to identify and support promising startups. The firm is committed to promoting and developing potential companies in the digital asset sector, believing that market segmentation is crucial to a company's financial strategy. Their investment strategy is characterized by a democratic voice, allowing for both long and short-term investments based on community input. This approach reflects their dedication to fostering innovation and growth in the rapidly evolving blockchain and digital asset landscape.</t>
  </si>
  <si>
    <t>FinTech, Blockchain, Digital Assets, Decentralized Finance, Gaming, Digital Health, AgriTech, Future Of Work, Climate Tech, Green Tech, NFTs, Productivity Tools, Web 3.0, InsureTech, Industrial IoT</t>
  </si>
  <si>
    <t>Japan, Australia, Singapore, China, India, Indonesia, South Korea, Pakistan, Bangladesh, Vietnam, Malaysia, New Zealand, Philippines, Thailand, Sri Lanka, Nepal, Myanmar, Cambodia, Laos, Brunei, Timor-Leste</t>
  </si>
  <si>
    <t>Strong team with a clear vision, Innovative solutions in digital assets or blockchain, Scalable business models, Potential for significant market impact, Alignment with AVstar Capital's investment philosophy</t>
  </si>
  <si>
    <t>Elemon, DRIFE</t>
  </si>
  <si>
    <t>STC Corporate Investment Fund</t>
  </si>
  <si>
    <t>King Abdulaziz Complex, Imam Mohammed Bin Saud Street, Al Mursalat Area, Riyadh</t>
  </si>
  <si>
    <t>IRU@stc.com.sa</t>
  </si>
  <si>
    <t>8001161100</t>
  </si>
  <si>
    <t>STCCorporate Investment Fund, established in 2023, is the corporate venture capital arm of Saudi Telecom Company (STC). The fund is dedicated to investing in startups across advanced technology domains, with a particular emphasis on early-stage technical innovation and feasibility. By leveraging STC's extensive experience in telecommunications and digital services, the fund aims to drive digital transformation and support the growth of innovative companies in the Middle East and beyond.     The fund's strategic focus includes sectors such as artificial intelligence, cybersecurity, cloud computing, and the Internet of Things, aligning with STC's commitment to technological advancement and economic diversification in Saudi Arabia. Through these investments, STC Corporate Investment Fund seeks to foster innovation, enhance digital infrastructure, and contribute to the realization of Saudi Vision 2030, which aims to diversify the economy and develop the digital sector. The fund's approach combines financial support with strategic guidance, providing portfolio companies access to stc's resources, expertise, and market presence to accelerate their growth and success in the competitive global market.</t>
  </si>
  <si>
    <t>Startups in advanced technology sectors, Early-stage companies with innovative solutions, Alignment with stc's strategic focus areas</t>
  </si>
  <si>
    <t>Camel Ventures</t>
  </si>
  <si>
    <t>https://www.camel.ventures/</t>
  </si>
  <si>
    <t>https://www.linkedin.com/company/camel-ventures</t>
  </si>
  <si>
    <t>info@camel.ventures</t>
  </si>
  <si>
    <t>Camel Ventures is a Cairo-based venture capital firm specializing in early-stage fintech investments across Egypt and the MENA region. Established by a team of pioneers in fintech, venture debt, and venture capital, the firm is backed by institutions such as dfin Holding and Al Ahly Capital Holding. The firm's first investment vehicle, Camel Ventures for Investment I (CVI), launched in April 2023 with a fund size of EGP 500 million (approximately $16 million). CVI is regulated by the Egyptian Financial Regulatory Authority and provides both equity investments for early-stage startups and venture debt for later-stage startups. The fund has already made ten investments in various sectors, including Khazenly, Pharmacy Marts, and Klickit. Camel Ventures emphasizes partnership over mere capital provision, leveraging deep local knowledge, regulatory expertise, and a global network to support startups in achieving sustainable growth and regional expansion. The firm's name, 'Camel Ventures,' symbolizes endurance, reliability, and strength, qualities they seek in their partner startups. The camel, native to Africa and Asia, represents the firm's target markets and embodies the spirit of exploration and discovery, key attributes for thriving enterprises.</t>
  </si>
  <si>
    <t>Seed, Early Stage, Growth</t>
  </si>
  <si>
    <t>Retail, HealthTech, EdTech, FinTech, E-commerce, Logistics, AgriTech, InsurTech, Entertainment, Medtech, Proptech, Mobility, Cleantech, Digital Payments</t>
  </si>
  <si>
    <t>United Arab Emirates, Ghana, Saudi Arabia, Egypt, Libya, Pakistan, Sudan, Mali, Uganda, Cameroon, Senegal, Benin, Botswana, Ivory Coast, Togo</t>
  </si>
  <si>
    <t>Startups must be based in Egypt or the MENA region, Focus on fintech and related sectors, Early-stage to growth-stage companies, Demonstrated potential for scalability and impact, Strong founding team with complementary skills, Clear business model and value proposition, Ability to navigate regulatory environments, Commitment to sustainable and ethical business practices, Potential for regional and global expansion, Alignment with Camel Ventures' values and mission</t>
  </si>
  <si>
    <t>Khazenly, Pharmacy Marts, Klickit</t>
  </si>
  <si>
    <t>Aga Khan Fund for Economic Development</t>
  </si>
  <si>
    <t>Aga Khan Development Network, Gouvieux, France</t>
  </si>
  <si>
    <t>FR</t>
  </si>
  <si>
    <t>https://the.akdn</t>
  </si>
  <si>
    <t>https://www.linkedin.com/company/akdn</t>
  </si>
  <si>
    <t>info@akdn.org</t>
  </si>
  <si>
    <t>+41 22 909 7200</t>
  </si>
  <si>
    <t>The Aga Khan Fund for Economic Development (AKFED) is a private development agency established by His Highness the Aga Khan to promote economic development in developing countries. AKFED operates a diverse portfolio of investments across various sectors, including hospitality, infrastructure, education, healthcare, and media. In Uganda, AKFED has made significant contributions to the tourism and hospitality industry through its Serena Hotels brand, notably with the establishment and operation of the Kampala Serena Hotel. This five-star hotel, inaugurated in 2006, has played a pivotal role in enhancing Uganda's tourism sector by providing world-class accommodation and conference facilities. AKFED's investments aim to stimulate economic growth, create employment opportunities, and improve living standards in the regions where it operates. The organization's approach emphasizes sustainable development, cultural sensitivity, and the empowerment of local communities, aligning with its broader mission to foster economic development in developing countries.</t>
  </si>
  <si>
    <t>Growth, Expansion</t>
  </si>
  <si>
    <t>Real Estate, Hospitality, Infrastructure</t>
  </si>
  <si>
    <t>Financial Services, Technology, Healthcare, Energy, Real Estate, Infrastructure, Telecommunications, Media, Education, Agriculture, Hospitality, Construction, Tourism, Transport, Development Finance</t>
  </si>
  <si>
    <t>Kenya, Pakistan, Afghanistan, Uganda, Tanzania, Mozambique, Tajikistan</t>
  </si>
  <si>
    <t>Focus on sustainable development, Cultural sensitivity, Community empowerment, Economic growth stimulation, Employment creation, Infrastructure development, Education and healthcare improvement, Media and communication enhancement, Agricultural development, Energy and power generation, Financial services expansion, Telecommunications infrastructure, Technological innovation, Transport and logistics improvement, Real estate development, Tourism and hospitality investment, Environmental conservation, Social impact initiatives, Governance and institutional strengthening, Regional integration and trade facilitation</t>
  </si>
  <si>
    <t>Serena Hotels, Diamond Trust Bank, Nation Media Group, Bujagali Hydroelectric Power Plant, West Nile Rural Electrification Project, Aga Khan University, Aga Khan Foundation, Aga Khan Education Services, Aga Khan Health Services, Aga Khan Agency for Microfinance, Aga Khan Fund for Economic Development</t>
  </si>
  <si>
    <t>Sharjah Chamber of Commerce and Industry</t>
  </si>
  <si>
    <t>Al Taawun Street, Sharjah</t>
  </si>
  <si>
    <t>Sharjah</t>
  </si>
  <si>
    <t>https://sharjah.gov.ae/</t>
  </si>
  <si>
    <t>scci@sharjah.gov.ae</t>
  </si>
  <si>
    <t>+971 6 530 2222</t>
  </si>
  <si>
    <t>Established to foster economic growth, the Sharjah Chamber of Commerce and Industry (SCCI) serves as a catalyst for sustainable commercial and industrial development within Sharjah. The SCCI collaborates with various governmental and private entities to enhance the business environment, promote trade, and support the interests of the local business community. Through its initiatives, the SCCI plays a pivotal role in strengthening Sharjah's position as a leading business hub in the region. The Chamber's activities encompass organizing trade events, facilitating networking opportunities, and providing resources to assist businesses in navigating the dynamic market landscape. By offering a platform for dialogue and collaboration, the SCCI contributes significantly to the economic prosperity and diversification of Sharjah's economy.</t>
  </si>
  <si>
    <t>Private Equity, Venture Capital, Real Estate, Infrastructure, Hedge Funds, Fixed Income (Debt and Bonds), Commodities, Crypto, Distressed and Special Situations, ESG and Impact Investing, Collectibles &amp; Art</t>
  </si>
  <si>
    <t>Technology, Healthcare, Energy, Real Estate, Telecommunications, Finance, Retail, Education, Agriculture, Transportation, Construction, Manufacturing, Tourism, Services, Trade</t>
  </si>
  <si>
    <t>Germany, China, India, Italy, United Arab Emirates, Indonesia, Saudi Arabia, Kuwait, Egypt, Lebanon, Bahrain, Turkey, Pakistan, Jordan, Iraq, Russia, Malaysia, Peru, Uganda, Estonia</t>
  </si>
  <si>
    <t>Alignment with Sharjah's economic development goals, Focus on sustainable and innovative projects, Contribution to job creation and skill development, Enhancement of Sharjah's global trade and investment relations, Compliance with UAE laws and regulations</t>
  </si>
  <si>
    <t>Expo Centre Sharjah, Sharjah International Airport Free Zone, Hamriyah Free Zone Authority, Sharjah Media City (Shams), Sharjah Research Technology and Innovation Park, Sharjah Publishing City Free Zone, Sharjah Healthcare City, Sharjah Airport International Free Zone, Sharjah Investment and Development Authority (Shurooq), Sharjah Economic Development Department, Sharjah Electricity, Water and Gas Authority, Sharjah Police Academy, Sharjah University City, Sharjah Art Foundation, Sharjah Museums Authority, Sharjah Tourism and Commerce Development Authority, Sharjah Chamber of Commerce and Industry - Al Dhaid Branch, Sharjah Chamber of Commerce and Industry - Khorfakkan Branch, Sharjah Chamber of Commerce and Industry - Dibba Al Hisn Branch, Sharjah Chamber of Commerce and Industry - Al Hamriyah Free Zone Branch</t>
  </si>
  <si>
    <t>Opportunity International</t>
  </si>
  <si>
    <t>PO Box 2826, Carol Stream</t>
  </si>
  <si>
    <t>Illinois</t>
  </si>
  <si>
    <t>https://opportunity.org/</t>
  </si>
  <si>
    <t>https://www.linkedin.com/company/opportunity-international</t>
  </si>
  <si>
    <t>edufinance@opportunity.org</t>
  </si>
  <si>
    <t>1-800-793-9455</t>
  </si>
  <si>
    <t>Opportunity International is a 501(c)(3) non-profit organization based in the United States, operating in over 20 countries worldwide. The organization offers a range of financial services, including small business loans, savings accounts, insurance, and training programs, aiming to empower individuals in developing nations to overcome poverty. Through a network of 47 program and support partners, Opportunity International serves more than 14 million clients globally. In Uganda, the organization has a significant presence, providing financial services to various communities, including refugees, smallholder farmers, women, youth, and individuals with disabilities. The organization has also partnered with local institutions, such as Opportunity Bank Uganda Limited, to expand its reach and impact. Additionally, Opportunity International collaborates with other organizations to enhance its programs, such as the partnership with the IDP Foundation in Ghana to improve access to quality education. The organization's commitment to financial inclusion and poverty alleviation is evident through its diverse programs and partnerships across multiple sectors and regions.</t>
  </si>
  <si>
    <t>Fixed Income (Debt and Bonds), Private Equity, Venture Capital</t>
  </si>
  <si>
    <t>Financial Services, Technology, Healthcare, Energy, Consumer Goods, Real Estate, Infrastructure, Telecommunications, Media, Retail, Education, Agriculture, Transportation, Hospitality, Manufacturing</t>
  </si>
  <si>
    <t>United States, China, India, Indonesia, Ghana, Kenya, Pakistan, Bangladesh, Niger, Philippines, Nigeria, Rwanda, Colombia, Peru, Serbia, Romania, Uganda, Tanzania, Dominican Republic, Mozambique, Democratic Republic of the Congo, North Macedonia, Honduras, Nicaragua, Zimbabwe, Malawi</t>
  </si>
  <si>
    <t>Focus on poverty alleviation, Support for underserved communities, Commitment to financial inclusion, Alignment with Opportunity International's mission and values, Demonstrated impact in target regions, Sustainable and scalable business models, Capacity for financial self-sufficiency, Strong governance and risk management practices, Ability to mobilize additional resources, Collaboration with local partners, Adherence to social performance standards, Transparency and accountability in operations, Commitment to gender equality and social inclusion, Focus on environmental sustainability, Alignment with global development goals, Capacity to measure and report on impact, Willingness to engage in capacity building and knowledge sharing, Commitment to innovation and adaptability, Focus on long-term community development, Alignment with Opportunity International's strategic priorities</t>
  </si>
  <si>
    <t>Opportunity Bank Uganda Limited, Urwego Opportunity Bank Rwanda, Opportunity Bank Tanzania, Opportunity Bank Malawi, Opportunity Bank Kenya, Opportunity Bank Ghana, Opportunity Bank Nigeria, Opportunity Bank Zambia, Opportunity Bank Zimbabwe, Opportunity Bank Mozambique, Opportunity Bank Democratic Republic of the Congo, Opportunity Bank Philippines, Opportunity Bank Indonesia, Opportunity Bank India, Opportunity Bank Bangladesh, Opportunity Bank Pakistan, Opportunity Bank Sri Lanka, Opportunity Bank Myanmar, Opportunity Bank Cambodia</t>
  </si>
  <si>
    <t>GMO VenturePartners</t>
  </si>
  <si>
    <t>Cerulean Tower, 26-1 Sakuragaokacho, Shibuya-ku, Tokyo</t>
  </si>
  <si>
    <t>Tokyo</t>
  </si>
  <si>
    <t>JP</t>
  </si>
  <si>
    <t>https://gmo-vp.com/en/</t>
  </si>
  <si>
    <t>https://www.linkedin.com/company/gmo-venturepartners-inc-</t>
  </si>
  <si>
    <t>info@gmo-vp.com</t>
  </si>
  <si>
    <t>+81-3-5458-8663</t>
  </si>
  <si>
    <t>GMO VenturePartners is a venture capital firm specializing in early-stage technology investments, with a strong emphasis on the Asia-Pacific region. The firm focuses on sectors such as fintech, e-commerce, cloud computing, and business information, aiming to support innovative companies that have the potential to lead in their respective markets. By leveraging its extensive network and expertise, GMO VenturePartners provides strategic guidance and resources to help portfolio companies scale and succeed in competitive environments.    Established in 2005, GMO VenturePartners has built a diverse portfolio that includes notable companies like Mercari, Inc., Sansan, Inc., Money Forward, Inc., Raksul, Inc., and Uzabase, Inc. The firm's investment approach is characterized by a hands-on strategy, offering not only capital but also operational support to enhance corporate value and drive business expansion. This comprehensive support model has contributed to the successful growth and development of its portfolio companies.    With a dedicated team of professionals, GMO VenturePartners continues to identify and invest in promising startups across various stages of development. The firm's commitment to fostering innovation and supporting entrepreneurs underscores its role as a key player in the venture capital landscape, particularly within the Asia-Pacific region. By maintaining a proactive and collaborative approach, GMO VenturePartners strives to create long-term value for both its investors and the companies it supports.</t>
  </si>
  <si>
    <t>Technology, Healthcare, Energy, Consumer Goods, Real Estate, Telecommunications, Media, Software, Education, Agriculture, FinTech, E-commerce, Logistics, Transportation, Artificial Intelligence, Cybersecurity, Cloud Computing, Hardware, Advertising, Business Information, Printing</t>
  </si>
  <si>
    <t>United States, Japan, Singapore, India, Indonesia, Pakistan, Bangladesh, Vietnam, Malaysia, Philippines, Thailand, Maldives, Sri Lanka, Nepal, Bhutan, Myanmar, Cambodia, Laos, Brunei, Timor-Leste</t>
  </si>
  <si>
    <t>Innovative technology solutions, Scalable business models, Strong management teams, Potential for market leadership, Alignment with firm's strategic focus areas</t>
  </si>
  <si>
    <t>Mercari, Inc., Sansan, Inc., Money Forward, Inc., Raksul, Inc., Uzabase, Inc., Gojo &amp; Company, Inc., LayerX Inc., hacomono, Inc., Asuene Inc., Monochrome Inc., Slice, Razorpay, Inc., Drip Capital, Jai Kisan, OTO, Coda Payments, 2C2P Pte. Ltd., Kredivo Group Ltd., Xendit, Carro</t>
  </si>
  <si>
    <t>Alter Global</t>
  </si>
  <si>
    <t>https://alter.vc</t>
  </si>
  <si>
    <t>hello@alter.global</t>
  </si>
  <si>
    <t>+94 777202069</t>
  </si>
  <si>
    <t>Alter Global is an early-stage venture capital firm investing in emerging markets, including Latin America, South and Southeast Asia, the Middle East, and Africa. Since its inception in 2015, the firm has partnered with over 40 exceptional ventures across 18 countries, focusing on supporting high-character founders who are building not only their companies but also contributing to their communities and nations. Alter Global aims to create an unprecedented global network of the world's best tech founders by connecting them with talent, expertise, and investments from around the world.    The firm's investment strategy involves deploying pre-seed to Series A capital, typically between $200,000 and $500,000 per round. Alter Global complements its investments with a bespoke fellowship program that embeds professionals in portfolio companies, providing operational support and expertise to accelerate growth. This approach reflects the firm's commitment to catalyzing emerging tech ecosystems by backing future success stories led by role model founders.    Alter Global's portfolio includes a diverse range of companies across various sectors, such as FinTech, EdTech, Logistics, HealthTech, and E-commerce. Notable investees include Nestcoin, Clara, Facily, Kargo, and Ula. The firm's focus on high-character founders and its support for community and nation-building distinguish it in the venture capital landscape, aiming to foster impactful, high-growth companies in emerging markets.</t>
  </si>
  <si>
    <t>Technology, Consumer Goods, Real Estate, Media, Education, Agriculture, HealthTech, EdTech, FinTech, E-commerce, Logistics, Transportation, Artificial Intelligence, Blockchain, Cybersecurity</t>
  </si>
  <si>
    <t>United States, India, Brazil, Mexico, Indonesia, Kenya, Egypt, Pakistan, Bangladesh, Philippines, Nigeria, Chile, Argentina, Colombia, Peru, Panama, Uruguay, Costa Rica, Paraguay, Guatemala</t>
  </si>
  <si>
    <t>High-character founders, Scalable ventures, Impactful business models, Commitment to community and nation-building</t>
  </si>
  <si>
    <t>Nestcoin, Clara, Facily, Kargo, Ula, 99Minutos, Kueski, Favo, Treinta, PayJoy, Graviti, Omnibnk, Rappi, Yoco, Hugo, Cobee, Pomelo, Klub, Melonn, Sumer</t>
  </si>
  <si>
    <t>Sarmayacar</t>
  </si>
  <si>
    <t>1109, 11th Floor, Haly Tower, Phase II, DHA, Lahore</t>
  </si>
  <si>
    <t>Punjab</t>
  </si>
  <si>
    <t>PK</t>
  </si>
  <si>
    <t>https://www.sarmayacar.com</t>
  </si>
  <si>
    <t>connect@sarmayacar.com</t>
  </si>
  <si>
    <t>+92 42 111 111 111</t>
  </si>
  <si>
    <t>Sarmayacar is a prominent venture capital firm based in Pakistan, specializing in early-stage investments in technology-driven startups. Established in 2016 as an angel syndicate, it transitioned into a formal venture capital fund in 2018, focusing on sectors such as fintech, healthtech, e-commerce, and SaaS. The firm aims to provide value-added capital to founders and offers investors a risk-managed approach to explore opportunities in the Pakistani market.    The firm's investment strategy encompasses a range of stages, from seed to Series B, reflecting its commitment to nurturing startups through various growth phases. Sarmayacar's portfolio includes notable companies like Bykea, Dawaai, Trellis, and Jugnu, demonstrating its active role in supporting innovative ventures within Pakistan.    With a team comprising professionals experienced in banking, private equity, and company building, Sarmayacar emphasizes values such as trust, conviction, and long-term partnerships. The firm operates from two offices across Pakistan, maintaining a strong presence in the region's entrepreneurial ecosystem.</t>
  </si>
  <si>
    <t>HealthTech, FinTech, E-commerce, SaaS</t>
  </si>
  <si>
    <t>Pakistan</t>
  </si>
  <si>
    <t>Technology-driven startups, Early-stage companies, Innovative business models</t>
  </si>
  <si>
    <t>Bykea, Dawaai, Trellis, Jugnu</t>
  </si>
  <si>
    <t>Indus Valley Capital</t>
  </si>
  <si>
    <t>1 Sansome Street, Suite 3500, San Francisco, CA 94104</t>
  </si>
  <si>
    <t>https://www.indus.vc/</t>
  </si>
  <si>
    <t>https://www.linkedin.com/company/indusvalleycap</t>
  </si>
  <si>
    <t>650-281-1837</t>
  </si>
  <si>
    <t xml:space="preserve">Indus Valley Capital is a San Francisco-based venture capital firm founded in 2020, focusing on early-stage investments in Pakistan. The firm specializes in private equity and agribusiness sectors, aiming to support transformative and impactful companies in the region. Indus Valley Capital has a strong commitment to backing ambitious Pakistani founders across multiple industries, including technology, healthcare, consumer goods, financial services, agriculture, education, media, logistics, energy, real estate, telecommunications, transportation, retail, manufacturing, and hospitality.    The firm's investment strategy emphasizes providing substantial funding to startups at the seed and early stages, with a notable example being the $1 million seed investment in AimFit, a female fitness startup in Pakistan, in 2020. This investment is among the largest seed investments for a female-founded startup in the country. Indus Valley Capital's approach combines local knowledge with a global perspective, integrating deep on-the-ground research to inform its investment decisions.    With a portfolio of over 20 companies and more than $300 million in equity funding raised, Indus Valley Capital demonstrates a strong track record in supporting the growth of diverse sectors within Pakistan's startup ecosystem. The firm's leadership, including founder and managing partner Aatif Awan, who previously served as Vice President of Growth &amp; International at LinkedIn, brings extensive experience and a commitment to fostering innovation and entrepreneurship in the region.    </t>
  </si>
  <si>
    <t>Pre-Seed, Seed, Early Stage, Series A</t>
  </si>
  <si>
    <t>Venture Capital, Private Equity, Agribusiness</t>
  </si>
  <si>
    <t>Financial Services, Technology, Healthcare, Energy, Consumer Goods, Real Estate, Telecommunications, Media, Retail, Education, Agriculture, FinTech, E-commerce, Logistics, SaaS, Transportation, Hospitality, Manufacturing</t>
  </si>
  <si>
    <t>United States, Pakistan</t>
  </si>
  <si>
    <t>Innovative business models, Scalable operations, Strong founding teams, Potential for significant market impact</t>
  </si>
  <si>
    <t>Airlift, Bazaar, Truck It In, Maqsad, AimFit</t>
  </si>
  <si>
    <t>Systems Ventures</t>
  </si>
  <si>
    <t>E-1, Sehjpal Road, Near DHA Phase-VIII (Ex-Air Avenue), Lahore Cantt.</t>
  </si>
  <si>
    <t>http://www.systemsventures.com</t>
  </si>
  <si>
    <t>Systems Ventures, a subsidiary of Systems Limited, is dedicated to fostering technology-centric ideas with lasting value. The firm partners with companies that leverage technology to disrupt conventional processes and create history. By investing in bold decisions and collaborating with leaders, Systems Ventures aims to maximize the true value of innovative ideas.    The investment focus of Systems Ventures includes backing ventures that aim at disruptive innovation, leveraging technology for digital transformation, and creating social impact. The firm seeks technology-driven ideas that are scalable and align with Systems Limited's growth strategy. Additionally, it supports businesses that use technology to enable digital transformation and address critical social challenges.    In its investment portfolio, Systems Ventures has made strategic investments in companies like Retailistan, Salesflo, and JOMO. These investments reflect the firm's commitment to supporting technology-driven companies that are reshaping industries and creating lasting value in Pakistan's evolving market landscape.</t>
  </si>
  <si>
    <t>Technology, Retail, E-commerce, Fashion, Supply Chain Management</t>
  </si>
  <si>
    <t>Technology-driven innovation, Scalability, Alignment with Systems Limited's growth strategy, Potential for social impact</t>
  </si>
  <si>
    <t>Retailistan, Salesflo, JOMO</t>
  </si>
  <si>
    <t>Wavemaker Partners</t>
  </si>
  <si>
    <t>1880, 1 Nanson Road, #03-00, Singapore 238909</t>
  </si>
  <si>
    <t>https://wavemaker.vc/</t>
  </si>
  <si>
    <t>https://www.linkedin.com/company/wavemakerpartners</t>
  </si>
  <si>
    <t>orbit@wavemaker.vc</t>
  </si>
  <si>
    <t>Wavemaker Partners is a prominent venture capital firm specializing in early-stage investments in Southeast Asia. The firm focuses on sectors such as enterprise software, fintech, and consumer internet, aiming to support entrepreneurs building market-leading companies in the region. Since its inception in 2012, Wavemaker Partners has invested in over 200 companies, managing assets exceeding US$600 million and achieving exits generating over US$1.8 billion in enterprise value. Notable exits include the acquisitions of TradeGecko by Intuit and Moka by Gojek.    The firm's investment strategy emphasizes sectors like enterprise software, fintech, and consumer internet, targeting early-stage companies with high growth potential. Wavemaker Partners has a strong presence in Southeast Asia, with offices in Singapore and Los Angeles, and has invested in companies across the region, including Singapore, Indonesia, the Philippines, Vietnam, Thailand, Malaysia, Myanmar, Laos, Cambodia, Brunei, and Timor-Leste. The firm has also expanded its reach to Australia, New Zealand, South Korea, Japan, China, India, Pakistan, Bangladesh, Sri Lanka, Nepal, and other countries.    Wavemaker Partners has demonstrated a commitment to sustainability, with 85% of its active portfolio startups in Southeast Asia contributing to at least one UN Sustainable Development Goal. In 2021, the firm launched Wavemaker Impact, a venture builder focused on co-founding climate-tech startups with experienced entrepreneurs. This initiative underscores Wavemaker Partners' dedication to fostering innovation that addresses pressing global challenges, particularly in the realm of climate change and sustainable development.</t>
  </si>
  <si>
    <t>Financial Services, Technology, Healthcare, Energy, Consumer Goods, Real Estate, Telecommunications, Media, Retail, Education, Agriculture, HealthTech, EdTech, FinTech, E-commerce, Logistics, Transportation, Artificial Intelligence, Hospitality, Manufacturing, Cybersecurity, Sustainability, Agtech, Proptech, Deep Tech, Clean Energy, Enterprise Software</t>
  </si>
  <si>
    <t>United States, United Kingdom, Germany, Hong Kong, Japan, Australia, Singapore, China, India, France, Indonesia, South Korea, Pakistan, Bangladesh, Netherlands, South Africa, Vietnam, Malaysia, New Zealand, Philippines, Thailand, Taiwan, Sri Lanka, Nepal, Myanmar, Cambodia, Laos, Brunei, Timor-Leste</t>
  </si>
  <si>
    <t>Innovative solutions addressing significant global challenges, Strong founding teams with a clear vision, Scalable business models with potential for rapid growth, Commitment to sustainability and positive social impact, Early-stage technology companies in Southeast Asia, Innovative solutions addressing meaningful problems in Southeast Asia, Strong potential for market leadership, Alignment with UN Sustainable Development Goals</t>
  </si>
  <si>
    <t>Growsari, Lhoopa, Silent Eight, Neufast, Atomionics, ZUZU Hospitality, Checkmate, Agros, WasteX, Helios, Rize, Bumibaru, RegenX, Refy, Elevate Foods, MetroElectro, Octayne, Numat, HiFeed, Moka, TradeGecko, Coins.ph, eFishery, Gudangada, Transcelestial, XSQUARE Technologies, Piestro, Novade, Wavecell, Luxola, Zilingo, Tookitaki</t>
  </si>
  <si>
    <t>AKD Group</t>
  </si>
  <si>
    <t>618, Continental Trade Centre, Block-8, Clifton, Karachi</t>
  </si>
  <si>
    <t>Sindh</t>
  </si>
  <si>
    <t>https://www.akdgroup.net</t>
  </si>
  <si>
    <t>info@akdgroup.net</t>
  </si>
  <si>
    <t>+92 21 111 253 111</t>
  </si>
  <si>
    <t>AKD Group is a diversified conglomerate with interests spanning various sectors, including financial services, real estate, infrastructure, natural resources, telecom, commodities, defense goods, security solutions, consultancy, construction, aviation, hospitality, healthcare, logistics, supply chain, FMCG, education, media, technology, and retail. The group operates through several subsidiaries, each specializing in distinct areas, contributing to its expansive portfolio.    The group's investment strategy focuses on sectors such as real estate, financial services, infrastructure, and natural resources. It has been involved in significant projects, including the development of large-scale residential and commercial properties, as well as investments in the hospitality industry. In July 2025, AKD Group Holdings acquired a 27.95% stake in Pakistan Services Limited, the operator of Pearl Continental Hotels, marking a substantial investment in the hospitality sector.    AKD Group's approach emphasizes strategic expansion and maintaining a strong reputation by meeting customer needs and expectations. The group prioritizes client satisfaction and strives to deliver high-quality results across its diverse operations, adapting to evolving market dynamics while upholding its commitment to excellence and integrity.</t>
  </si>
  <si>
    <t>Real Estate, Financial Services, Infrastructure, Natural Resources, Telecom, Commodities, Defense Goods, Security Solutions, Consultancy, Construction, Aviation, Hospitality, Healthcare, Logistics, Supply Chain, FMCG, Education, Media, Technology, Retail</t>
  </si>
  <si>
    <t>Financial Services, Technology, Healthcare, Real Estate, Infrastructure, Media, Retail, Education, Logistics, Hospitality, Construction, Supply Chain, Aviation, Commodities, Consultancy, Telecom, Natural Resources, FMCG, Defense Goods, Security Solutions</t>
  </si>
  <si>
    <t>United Kingdom, United Arab Emirates, Saudi Arabia, Pakistan</t>
  </si>
  <si>
    <t>Strategic alignment with AKD Group's diverse portfolio, Potential for significant growth and value creation, Strong management teams with a track record of success, Opportunities in sectors such as real estate, financial services, infrastructure, and natural resources, Projects that align with AKD Group's commitment to excellence and integrity</t>
  </si>
  <si>
    <t>AKD Securities Limited, AKD Capital, AKD REIT Management Company Limited, TMT Ventures Private Limited, AKD Investment Management Limited, M3 Technologies Pakistan Private Limited, Imperium Aviation, AKD Hospitality Limited, AKD Human Resources, AKD Property Holdings, AK Digital, Imperium Construction &amp; Developments, Total Integrated Services, Top Notch Nannies, Mrs. Hunts Agency, Imperium Alliance</t>
  </si>
  <si>
    <t>Deosai Ventures</t>
  </si>
  <si>
    <t>Islamabad, Pakistan</t>
  </si>
  <si>
    <t>https://deosai.vc</t>
  </si>
  <si>
    <t>https://www.linkedin.com/company/deosai-ventures</t>
  </si>
  <si>
    <t>contact@deosai.vc</t>
  </si>
  <si>
    <t>+1-415-555-0199</t>
  </si>
  <si>
    <t>Deosai Ventures is an early-stage, sector-agnostic venture capital firm based in Islamabad, Pakistan. The firm focuses on investing in early-stage startups across various sectors, primarily in Pakistan, with additional investments in the United States and the United Arab Emirates. Deosai Ventures aims to support innovative entrepreneurs by providing capital, networks, and expertise to help them scale their businesses effectively.    The firm's investment strategy is to identify and back startups with strong growth potential, clear vision, and capable teams. Deosai Ventures is known for its hands-on approach, offering not only financial support but also strategic guidance to portfolio companies. The firm has a diverse portfolio, including investments in sectors such as financial services, fintech, information technology, artificial intelligence, enterprise software, media, creator economy, logistics, adtech, smart infrastructure, B2B SaaS, supply chain, fresh produce, microfinance, and voice technology.    Deosai Ventures has demonstrated a commitment to fostering innovation and entrepreneurship in Pakistan's rapidly evolving market. By investing in a wide range of industries and stages, the firm contributes to the development of a robust startup ecosystem, positioning its portfolio companies for long-term success. The firm's diverse investments reflect its belief in the potential of various sectors to drive economic growth and technological advancement in the region.</t>
  </si>
  <si>
    <t>Seed, Early Stage</t>
  </si>
  <si>
    <t>Financial Services, Media, FinTech, Logistics, Artificial Intelligence, Information Technology, Supply Chain, Creator Economy, B2B SaaS, Microfinance, Enterprise Software, Adtech, Smart Infrastructure, Fresh Produce, Voice Technology</t>
  </si>
  <si>
    <t>United States, United Arab Emirates, Pakistan</t>
  </si>
  <si>
    <t>Innovative business model, Scalable operations, Strong management team, Clear growth potential, Alignment with Deosai Ventures' investment thesis</t>
  </si>
  <si>
    <t>Roomy, Truck It In, CreditPer, Metric, Farmdar, Scribe Audio, EasyFresh, Pattern Technologies</t>
  </si>
  <si>
    <t>Bank Alfalah Limited</t>
  </si>
  <si>
    <t>B.A. Building, Karachi</t>
  </si>
  <si>
    <t>https://www.bankalfalah.com/</t>
  </si>
  <si>
    <t>contactus@bankalfalah.com</t>
  </si>
  <si>
    <t>+92 21 111 225 111</t>
  </si>
  <si>
    <t>Bank Alfalah Limited is one of Pakistan's largest commercial banks, offering a wide range of financial services including corporate and investment banking, consumer banking, securities brokerage, and asset management. The bank has a significant presence in Pakistan and operates internationally in Afghanistan, Bangladesh, Bahrain, and the United Arab Emirates. It is listed on the Pakistan Stock Exchange and is owned and operated by the Abu Dhabi Group.  The bank's investment strategy is diverse, encompassing various asset classes such as fixed income, equity, commodities, real estate, infrastructure, private equity, and venture capital. It engages in investments across multiple stages, including seed, early stage, series A, series B, growth, late stage, pre-IPO, buyout, turnaround, and distressed situations. This broad approach allows Bank Alfalah to participate in a wide array of investment opportunities, catering to different market segments and risk profiles.  Bank Alfalah has demonstrated a strong commitment to investor relations, being recognized with the 'Best Investor Relations' award for nine consecutive years at the Annual Excellence Awards hosted by the CFA Society Pakistan. This accolade reflects the bank's dedication to maintaining transparent and effective communication with its investors, ensuring alignment with their interests and fostering trust in its financial stewardship.  In addition to its banking operations, Bank Alfalah has made strategic investments in subsidiaries such as Alfalah CLSA Securities (Private) Limited, a brokerage firm, and Alfalah GHP Investment Management Limited, an asset management company. These investments enhance the bank's capabilities in securities brokerage and asset management, contributing to its comprehensive financial services offering.  Overall, Bank Alfalah Limited's diversified investment approach, coupled with its strong investor relations and strategic subsidiary investments, underscores its position as a prominent and active institutional investor in Pakistan's financial landscape.</t>
  </si>
  <si>
    <t>Fixed Income (Debt and Bonds), Equity, Commodities, Real Estate, Infrastructure, Private Equity, Venture Capital</t>
  </si>
  <si>
    <t>Financial Services, Real Estate, Infrastructure, Banking, Asset Management, Investment Management, Private Equity, Venture Capital, Commodities, Fixed Income, Equity, Brokerage, Islamic Finance</t>
  </si>
  <si>
    <t>United Arab Emirates, Bahrain, Pakistan, Bangladesh, Afghanistan</t>
  </si>
  <si>
    <t>Preference for investments in Pakistan and the Middle East, Interest in sectors such as banking, financial services, real estate, and infrastructure, Open to various investment stages, including seed, early stage, and growth, Focus on both equity and debt instruments, Emphasis on Shariah-compliant investment opportunities</t>
  </si>
  <si>
    <t>Alfalah CLSA Securities (Private) Limited, Alfalah GHP Investment Management Limited</t>
  </si>
  <si>
    <t>TPL e-Ventures</t>
  </si>
  <si>
    <t>20th Floor, Sky Tower – East Wing, Dolmen City, HC-3, Block 4, Abdul Sattar Edhi Avenue, Clifton, Karachi</t>
  </si>
  <si>
    <t>https://tpleventures.com/</t>
  </si>
  <si>
    <t>info@tpleventures.com</t>
  </si>
  <si>
    <t>+922137130227</t>
  </si>
  <si>
    <t>TPL e-Ventures is a corporate venture capital firm based in Karachi, Pakistan, focusing on investing in tech and tech-enabled startups at seed and venture stages. The firm aims to build a world-class platform known for catalyzing high-potential entrepreneurs. TPL e-Ventures strives to create its presence in the local ecosystem through collaboration and strategic partnerships with key stakeholders, including the execution of a Memorandum of Understanding (MoU) with National Incubation Centre (NIC) across Karachi, Lahore, and Islamabad in collaboration with TPL Trakker.    The firm's investment strategy encompasses various sectors, including technology, financial services, e-commerce, logistics, shipping, fintech, health care, wellness, and fitness. TPL e-Ventures has a history of supporting startups such as KarloCompare, a financial services comparison platform in Pakistan, and TelloTalk, a homegrown social and corporate messaging platform. These investments reflect the firm's commitment to fostering innovation and digital transformation within Pakistan's economy.    TPL e-Ventures operates with a philosophy that goes beyond financial support, offering strategic and operational assistance, mentorship, and access to a national and international network. This approach aims to help startups scale their businesses and raise subsequent rounds of financing, contributing to the growth and development of Pakistan's startup ecosystem.</t>
  </si>
  <si>
    <t>Seed, Venture</t>
  </si>
  <si>
    <t>Financial Services, Technology, FinTech, E-commerce, Logistics, Health Care, Shipping, Wellness, Fitness</t>
  </si>
  <si>
    <t>Tech or tech-enabled startups, Seed and venture stages, Focus on sectors like technology, financial services, e-commerce, logistics, shipping, fintech, health care, wellness, and fitness</t>
  </si>
  <si>
    <t>KarloCompare, TelloTalk</t>
  </si>
  <si>
    <t>Meezan Bank Limited</t>
  </si>
  <si>
    <t>Meezan House C-25, Estate Avenue, SITE, Karachi-75700</t>
  </si>
  <si>
    <t>https://www.meezanbank.com</t>
  </si>
  <si>
    <t>https://www.linkedin.com/company/meezan-bank-ltd/</t>
  </si>
  <si>
    <t>info@meezanbank.com</t>
  </si>
  <si>
    <t>(92-21) 38103500</t>
  </si>
  <si>
    <t>Meezan Bank Limited, established in 1997, is Pakistan's first and largest Islamic bank, providing a comprehensive range of Shariah-compliant financial services. The bank operates a vast network of over 1,050 branches across 351 cities, making it the largest Islamic bank in Pakistan by assets and market capitalization. Its services include retail banking, corporate banking, and investment banking, all adhering to Islamic principles.  The bank's investment strategy is diverse, focusing on sectors such as real estate, energy, healthcare, technology, and consumer goods. It engages in various stages of investment, including growth, late stage, pre-IPO, buyout, turnaround, and distressed situations. Meezan Bank's investment approach is characterized by a commitment to ethical standards and social responsibility, ensuring that all investments comply with Shariah law.  Meezan Bank has a strong track record of financial performance, maintaining a Non-Performing Financing (NPF) ratio of 2.6% as of September 2025, outperforming industry benchmarks. The bank's asset management subsidiary, Al Meezan Investment Management Limited, is the largest asset management company in Pakistan, managing over Rs. 633 billion in assets as of September 30, 2025. This subsidiary offers a comprehensive range of Shariah-compliant investment solutions, including mutual funds, pension funds, and investment advisory services, serving a diverse customer base of over 499,000 investors.</t>
  </si>
  <si>
    <t>Financial Services, Technology, Healthcare, Energy, Consumer Goods, Real Estate, Infrastructure, Telecommunications, Media, Retail, Education, Agriculture, Transportation, Hospitality, Construction</t>
  </si>
  <si>
    <t>Lakson Venture Capital</t>
  </si>
  <si>
    <t>Lakson Square, Building #2, Sarwar Shaheed Road, Karachi</t>
  </si>
  <si>
    <t>https://livc.pk/</t>
  </si>
  <si>
    <t>info@livc.pk</t>
  </si>
  <si>
    <t>+92 51 2877357</t>
  </si>
  <si>
    <t xml:space="preserve">Lakson Venture Capital is a prominent venture capital firm based in Pakistan, dedicated to fostering the growth of technology startups with an emphasis on long-term success. The firm is part of the Lakson Group, a diversified conglomerate with interests spanning various sectors, including technology, media, FMCG, and more. This affiliation provides Lakson Venture Capital with a robust operational foundation and a vast network, enabling it to offer comprehensive support to its portfolio companies.  The firm's investment strategy centers on identifying and nurturing high-growth technology businesses across multiple sectors. By leveraging the extensive operational experience of the Lakson Group, Lakson Venture Capital adds significant value to early-stage companies, assisting them in scaling their operations and achieving market leadership. The firm's portfolio includes notable investments in Bagallery, an e-commerce platform specializing in beauty and fashion products, and Knowledge Platform, an edtech company providing innovative learning solutions.  Lakson Venture Capital's approach combines financial investment with strategic guidance, ensuring that portfolio companies benefit from both capital and expertise. This holistic support model has contributed to the firm's reputation as a key player in Pakistan's venture capital landscape, committed to accelerating the digitization and modernization of the country's economy.  </t>
  </si>
  <si>
    <t>Technology, Media, Insurance, EdTech, E-commerce, Hospitality, FMCG, QSR</t>
  </si>
  <si>
    <t>Technology-driven business models, Scalable operations, Strong management teams, Potential for market leadership</t>
  </si>
  <si>
    <t>Bagallery, Knowledge Platform</t>
  </si>
  <si>
    <t>Lakson Investments Venture Capital</t>
  </si>
  <si>
    <t xml:space="preserve">Lakson Investments Venture Capital is a prominent venture capital fund based in Pakistan, dedicated to accelerating the country's digitization by investing in high-growth technology businesses. The fund leverages the extensive operational experience of the Lakson Group, a conglomerate with over 14,000 employees across sectors such as Technology, Broadcast and Print Media, FMCG, Insurance, and QSR. This vast network provides portfolio companies with valuable resources and expertise to scale their operations effectively.  The fund's investment strategy focuses on early-stage companies across various sectors, including technology, e-commerce, education technology, hospitality, media, FMCG, insurance, and QSR. By providing growth capital to these sectors, Lakson Investments Venture Capital aims to foster innovation and support the development of new business models in Pakistan. The fund's approach is to identify and invest in companies that have the potential to disrupt existing markets and create new opportunities, thereby contributing to the overall economic growth and digital transformation of the country.  Since its inception, Lakson Investments Venture Capital has made several notable investments, including in Bagallery, a leading beauty and fashion e-commerce platform in Pakistan, and Knowledge Platform, a prominent education technology company. These investments reflect the fund's commitment to supporting innovative businesses that align with its mission of driving digitization and economic development in Pakistan. By combining financial support with strategic guidance, Lakson Investments Venture Capital continues to play a pivotal role in nurturing the next generation of successful technology-driven enterprises in the region.  </t>
  </si>
  <si>
    <t>Technology, Media, Insurance, E-commerce, Hospitality, Education Technology, FMCG, QSR</t>
  </si>
  <si>
    <t>High-growth technology businesses, Early-stage companies, Potential to disrupt existing markets, Alignment with Pakistan's digitization goals</t>
  </si>
  <si>
    <t>Bagallery, Knowledge Platform, Roomy, Bookme Tickets</t>
  </si>
  <si>
    <t>JR Dallas Tech Fund</t>
  </si>
  <si>
    <t>Flower Mound, United States</t>
  </si>
  <si>
    <t>Texas</t>
  </si>
  <si>
    <t>https://jrdallaswealth.com/</t>
  </si>
  <si>
    <t>https://www.linkedin.com/company/jr-dallas-wealth-management</t>
  </si>
  <si>
    <t>info@jrdallaswealth.com</t>
  </si>
  <si>
    <t>(469) 590-4200</t>
  </si>
  <si>
    <t xml:space="preserve">JR Dallas Tech Fund is a private investment firm specializing in technology ventures, with a notable $10 million commitment in June 2025 to Pakistani technology leaders Mehwish Salman Ali and Malik Mudassir. This initiative aims to identify and invest in high-potential startups planning to scale operations in the United States, focusing on sectors such as artificial intelligence, cloud computing, digital health, cybersecurity, and frontier technologies like quantum computing. The fund's strategy involves empowering experienced entrepreneurs to lead investment initiatives, leveraging their expertise to drive innovation and economic growth.  The fund's investment approach is characterized by a commitment to supporting emerging technologies and fostering international collaboration. By partnering with leaders from Pakistan, JR Dallas Tech Fund seeks to bridge global markets and accelerate the growth of startups with the potential to make a significant impact in the U.S. market. This strategy reflects a broader trend of cross-border venture capital collaboration, aiming to harness diverse perspectives and expertise to drive technological advancements and economic development.  Through this initiative, JR Dallas Tech Fund demonstrates its dedication to fostering innovation and supporting entrepreneurs who are poised to lead the next wave of technological breakthroughs. The fund's focus on high-growth sectors and its strategic partnerships underscore its role in shaping the future of technology and contributing to the global economy.  </t>
  </si>
  <si>
    <t>Technology, Artificial Intelligence, Digital Health, Cybersecurity, Quantum Computing, Cloud Computing</t>
  </si>
  <si>
    <t>High-potential startups planning to scale operations in the United States, Focus on artificial intelligence, cloud computing, digital health, cybersecurity, and frontier technologies like quantum computing, Led by experienced entrepreneurs with a proven track record in technology and business domains</t>
  </si>
  <si>
    <t>Data Vault, Zahanat AI, AppsGenii Technologies, GharPar, BoxesGen, Dental Connect</t>
  </si>
  <si>
    <t>Anchorless Bangladesh</t>
  </si>
  <si>
    <t>https://www.anchorless.vc</t>
  </si>
  <si>
    <t>https://www.linkedin.com/company/anchorless</t>
  </si>
  <si>
    <t>info@anchorless.vc</t>
  </si>
  <si>
    <t>Anchorless Bangladesh is an early-stage venture capital firm dedicated to investing in businesses that are fundamental to Bangladesh's socio-economic development. The firm focuses on sectors such as FinTech, healthcare, agriculture, garments, education, logistics, and SaaS, primarily at the seed stage. By partnering with local founders, Anchorless Bangladesh aims to harness global capital to deliver substantial financial returns while optimizing for social impact.    The firm works actively with local partners to accelerate the quality and growth of the startup ecosystem in Bangladesh. Their investment strategy emphasizes scalability and social impact, seeking businesses with the potential for international expansion. Anchorless Bangladesh's approach combines financial support with strategic guidance to foster innovation and entrepreneurship within the country.    Through its investments, Anchorless Bangladesh contributes to the creation of new employment opportunities, the promotion of under-represented tech groups, and the fostering of an entrepreneurial culture. The firm's efforts align with the vision of Digital Bangladesh, aiming to bring transformational changes to the lives of millions by supporting technology-based innovations that drive economic growth and development.</t>
  </si>
  <si>
    <t>Seed, Pre-Seed, Post-Seed</t>
  </si>
  <si>
    <t>Healthcare, Education, Agriculture, FinTech, Logistics, SaaS, Garments</t>
  </si>
  <si>
    <t>United States, Pakistan, Bangladesh</t>
  </si>
  <si>
    <t>Tech-enabled scalability, Potential for international expansion, Alignment of scalability with social impact, Scalable business models, Alignment with social impact objectives</t>
  </si>
  <si>
    <t>Agroshift, Alice Labs, HypeScout, Loop Freight, Pathao, Shikho, Loop Maya</t>
  </si>
  <si>
    <t>Sturgeon Capital</t>
  </si>
  <si>
    <t>Plantworks, 1a Britannia St, London</t>
  </si>
  <si>
    <t>England</t>
  </si>
  <si>
    <t>https://www.sturgeoncapital.com/</t>
  </si>
  <si>
    <t>https://www.linkedin.com/company/sturgeon-capital</t>
  </si>
  <si>
    <t>info@sturgeoncapital.com</t>
  </si>
  <si>
    <t>+44 20 7126 8178</t>
  </si>
  <si>
    <t>Sturgeon Capital is a London-based investment boutique specializing in transformative businesses in frontier markets. The firm operates across multiple offices, including London, Almaty, Astana, Tashkent, Tbilisi, Karachi, and Dhaka, managing or advising on total committed capital of approximately $300 million. Their investment approach emphasizes building leading technology businesses in emerging markets, with a particular focus on Central Asia and the Caucasus region.    The firm's portfolio spans various sectors, including technology, healthcare, financial services, renewables, construction materials, medical diagnostics, and facility management services. Notable investments include AB Supply, RMK, Orhun Medical, and Top.kz in Kazakhstan. Sturgeon Capital's investment stages range from seed to late-stage funding, supporting companies at various growth phases.    Sturgeon Capital's strategy centers on leveraging the competitive and comparative advantages of the countries in which they invest, driving efficiency and creating value at every step. Their portfolio companies play a critical role in their respective markets, contributing to economic development and innovation. The firm's commitment to frontier markets underscores their dedication to fostering growth and impact in regions with significant potential.</t>
  </si>
  <si>
    <t>Financial Services, Technology, Healthcare, Renewables, Construction Materials, Medical Diagnostics, Facility Management Services</t>
  </si>
  <si>
    <t>United Kingdom, Pakistan, Bangladesh, Georgia, Kazakhstan, Uzbekistan</t>
  </si>
  <si>
    <t>Obeikan Investment Group</t>
  </si>
  <si>
    <t>New Industrial Area, Riyadh 14336, Building 140, Riyadh</t>
  </si>
  <si>
    <t>https://www.obeikan.com.sa/</t>
  </si>
  <si>
    <t>info@obeikan.com.sa</t>
  </si>
  <si>
    <t>+966 11 283 9400</t>
  </si>
  <si>
    <t>Established in 1982, Obeikan Investment Group (OIG) has evolved from a single commercial print shop into a diversified conglomerate operating across multiple sectors, including manufacturing, packaging, printing, supply chain, education, and digital solutions. With over 3,000 employees and operations in 16 countries, OIG has an annual turnover of $1 billion and assets totaling $1.6 billion. The group manufactures 22 billion packs annually and has a significant presence in the real estate sector, with completed projects such as Riyadh’s Obeikan Industrial City, the Obeikan Building, and the Obeikan Tower.    OIG's investment strategy is multifaceted, encompassing private equity, venture capital, real estate, infrastructure, commodities, hedge funds, fixed income, distressed and special situations, ESG and impact investing, crypto, and collectibles &amp; art. The group engages in various investment stages, including seed, early stage, Series A, Series B, growth, late stage, pre-IPO, buyout, turnaround, and distressed investments. Geographically, OIG's investments span across Saudi Arabia, Egypt, Pakistan, the United States, the United Kingdom, Germany, France, Italy, Spain, China, India, Japan, South Korea, Australia, Brazil, Mexico, South Africa, Nigeria, Russia, and Turkey.    In recent years, OIG has expanded its digital footprint by launching Obeikan Digital Solutions (ODS) in Cairo, Egypt, to drive digital transformation in the MENA region. The group also partnered with European Lithium to support Saudi Arabia's Vision 2030 by evolving the mining and electric vehicle industries. Additionally, OIG's subsidiary, Obeikan Glass Company, holds a 43.83% stake in the company, which recorded $133.9 million in revenues in 2022. OIG's diverse portfolio and strategic partnerships underscore its commitment to innovation and growth across various sectors and regions.</t>
  </si>
  <si>
    <t>Private Equity, Venture Capital, Real Estate, Infrastructure, Commodities, Hedge Funds, Fixed Income (Debt and Bonds), Distressed and Special Situations, ESG and Impact Investing, Crypto, Collectibles &amp; Art</t>
  </si>
  <si>
    <t>Technology, Real Estate, Education, Digital Health, Manufacturing, Supply Chain, Hedge Funds, Commodities, Fixed Income (Debt and Bonds), Glass Manufacturing, Packaging, Digital Solutions, Printing, Tensile Structures, Additive Manufacturing</t>
  </si>
  <si>
    <t>United States, United Kingdom, Germany, Japan, Australia, China, India, Brazil, France, Italy, Spain, Mexico, South Korea, Saudi Arabia, Egypt, Turkey, Pakistan, South Africa, Russia, Nigeria</t>
  </si>
  <si>
    <t>Strong market position, Scalable business model, Experienced management team, Alignment with OIG's strategic objectives, Potential for significant return on investment</t>
  </si>
  <si>
    <t>Obeikan Glass Company, Obeikan Digital Solutions, Obeikan Additive Manufacturing, Obeikan Tensile Structures</t>
  </si>
  <si>
    <t>Al Rostamani Group</t>
  </si>
  <si>
    <t>The MAZE Tower Sheikh Zayed Road P.O. Box 29046 Dubai United Arab Emirates</t>
  </si>
  <si>
    <t>https://alrostamanigroup.ae/</t>
  </si>
  <si>
    <t>https://www.linkedin.com/company/al-rostamani-group</t>
  </si>
  <si>
    <t>info@alrostamanigroup.ae</t>
  </si>
  <si>
    <t>+971 4 4287676</t>
  </si>
  <si>
    <t>Al Rostamani Group is a prominent family-owned conglomerate based in Dubai, United Arab Emirates, with a legacy spanning over six decades. The group operates across various sectors, including automotive, real estate, logistics, retail, lighting, travel, agritech, technology, energy, financial services, general trading, solar energy, construction, hospitality, and media. This extensive diversification reflects the group's commitment to excellence and innovation in multiple industries.    The group's investment strategy encompasses a wide range of asset classes, focusing on venture capital, private equity, real estate, technology, energy, financial services, travel and hospitality, and general trading. Al Rostamani Group engages in investments at various stages, from seed and early-stage ventures to growth, late-stage, pre-IPO, buyouts, turnarounds, and distressed assets. Geographically, the group has a broad focus, with investments spanning the United Arab Emirates, the Gulf Cooperation Council (GCC) countries, and extending to regions such as the United States, United Kingdom, Europe, and Asia.    Al Rostamani Group's portfolio includes a diverse array of industries, such as automotive, real estate, logistics, retail, lighting, travel, agritech, technology, energy, financial services, general trading, solar energy, construction, hospitality, and media. This wide-ranging portfolio underscores the group's strategic approach to achieving sustainable growth and value creation across multiple sectors and markets.</t>
  </si>
  <si>
    <t>Early Stage, Growth, Late Stage, Pre-IPO, Buyout, Turnaround, Distressed, Seed</t>
  </si>
  <si>
    <t>Real Estate, Technology, Automotive, Energy, General Trading, Travel &amp; Hospitality, Venture Capital, Private Equity, Financial Services</t>
  </si>
  <si>
    <t>Financial Services, Technology, Energy, Real Estate, Media, Automotive, Retail, Logistics, Hospitality, Construction, AgriTech, Real Estate &amp; Construction, Travel, Exchange, Solar Energy, Travel &amp; Hospitality, General Trading, Lighting</t>
  </si>
  <si>
    <t>United States, United Kingdom, Germany, Japan, China, India, France, Italy, United Arab Emirates, South Korea, Saudi Arabia, Qatar, Kuwait, Oman, Egypt, Lebanon, Bahrain, Pakistan, Jordan, Iraq</t>
  </si>
  <si>
    <t>Standard Chartered</t>
  </si>
  <si>
    <t>1 Basinghall Avenue, London</t>
  </si>
  <si>
    <t>https://www.sc.com</t>
  </si>
  <si>
    <t>https://www.linkedin.com/company/standardchartered</t>
  </si>
  <si>
    <t>info@sc.com</t>
  </si>
  <si>
    <t>+44 20 7885 8888</t>
  </si>
  <si>
    <t>Standard Chartered is a prominent international banking group headquartered in London, operating in 54 of the world's most dynamic markets. The bank provides a comprehensive suite of financial services, including retail banking, corporate and institutional banking, and wealth management. Its global presence and diverse offerings make it a significant player in the financial sector.    In September 2024, Standard Chartered launched its digital asset custody service in the United Arab Emirates, marking a significant milestone in its digital asset strategy. The service, initially supporting Bitcoin and Ethereum, was granted a license by the Dubai Financial Services Authority within the Dubai International Financial Centre. Brevan Howard Digital, the crypto and digital asset division of Brevan Howard, was the inaugural client for this service. This initiative underscores Standard Chartered's commitment to integrating digital assets into its service offerings.    The bank's investment approach is characterized by a focus on growth and late-stage investments, with a strategic interest in sectors such as technology, healthcare, and consumer goods. Standard Chartered's extensive global network and financial expertise enable it to identify and support high-potential investment opportunities across various industries and regions. Its diversified investment portfolio reflects a commitment to fostering innovation and economic development worldwide.</t>
  </si>
  <si>
    <t>Crypto, Fixed Income (Debt and Bonds), Hedge Funds, Private Equity, Real Estate, Venture Capital</t>
  </si>
  <si>
    <t>Financial Services, Technology, Healthcare, Energy, Consumer Goods, Real Estate, Telecommunications, Media, Banking, Insurance, Asset Management, Investment Banking, Private Equity, Venture Capital, Hedge Funds</t>
  </si>
  <si>
    <t>United States, United Kingdom, Hong Kong, Australia, Singapore, China, India, United Arab Emirates, Indonesia, Kenya, South Korea, Pakistan, Bangladesh, South Africa, Vietnam, Malaysia, Philippines, Thailand, Nigeria, Sri Lanka</t>
  </si>
  <si>
    <t>Institutional clients, Focus on growth and late-stage investments, Interest in sectors such as technology, healthcare, and consumer goods</t>
  </si>
  <si>
    <t>Brevan Howard Digital, Zodia Markets, Zodia Custody, FalconX</t>
  </si>
  <si>
    <t>Acumen</t>
  </si>
  <si>
    <t>40 Worth Street, Suite 303, New York, NY 10013</t>
  </si>
  <si>
    <t>http://www.acumen.org</t>
  </si>
  <si>
    <t>https://www.linkedin.com/company/acumen-fund</t>
  </si>
  <si>
    <t>info@acumen.org</t>
  </si>
  <si>
    <t>+1 (212) 566-8821</t>
  </si>
  <si>
    <t>Acumen is a non-profit organization dedicated to investing in social enterprises that serve low-income individuals. Founded in 2001, it deploys philanthropic capital and business acumen to help low-income communities create businesses. Acumen's investments focus on delivering affordable, critical goods and services like health, water, housing, and energy through innovative, market-oriented approaches.    Operating globally, Acumen has offices in the United States, India, Pakistan, Kenya, and Ghana. It invests in companies providing agricultural inputs, quality education, clean energy, healthcare services, formal housing, safe drinking water, and sanitation services to low-income customers. Acumen's model is to invest as equity or debt in social enterprises, both for-profit or non-profit organizations, that are serving people living below, at, or slightly above the poverty line.    Acumen measures success in the number of lives reached in bottom-of-the-pyramid markets. It defines patient capital as a debt or equity investment in an early-stage social enterprise, allowing an extended timeline for a return (7–12 years). Acumen tends to focus on companies working in off-grid, renewable energy, and agriculture. The organization has invested in over 100 companies across various sectors and regions, impacting millions of lives since its inception.</t>
  </si>
  <si>
    <t>ESG and Impact Investing, Venture Capital, Private Equity</t>
  </si>
  <si>
    <t>Financial Services, Technology, Healthcare, Energy, Consumer Goods, Infrastructure, Telecommunications, Media, Retail, Education, Agriculture, Transportation, Manufacturing, Housing, Water and Sanitation</t>
  </si>
  <si>
    <t>United States, India, Brazil, Mexico, Ghana, Kenya, Pakistan, South Africa, Ethiopia, Nigeria, Chile, Argentina, Colombia, Peru, Uganda, Tanzania, El Salvador, Costa Rica, Guatemala, Honduras</t>
  </si>
  <si>
    <t>Focus on social enterprises serving low-income individuals, Innovative, market-oriented approaches, Potential for scalable impact, Alignment with Acumen's mission to tackle poverty and promote sustainable development</t>
  </si>
  <si>
    <t>d.light, M-KOPA Solar, Juhudi Kilimo, Sanergy</t>
  </si>
  <si>
    <t>World Bank Group</t>
  </si>
  <si>
    <t>1818 H Street Northwest, Washington D.C.</t>
  </si>
  <si>
    <t>https://www.worldbank.org/en/Home</t>
  </si>
  <si>
    <t>https://www.linkedin.com/company/the-world-bank</t>
  </si>
  <si>
    <t>info@worldbank.org</t>
  </si>
  <si>
    <t>The World Bank Group is a global partnership comprising five international organizations that provide financial and technical assistance to developing countries. Established in 1944, it aims to reduce poverty and support development by offering low-interest loans, interest-free credits, and grants for investments in areas such as education, health, public administration, infrastructure, financial and private sector development, agriculture, and environmental and natural resource management. The Group's five institutions are the International Bank for Reconstruction and Development (IBRD), the International Development Association (IDA), the International Finance Corporation (IFC), the Multilateral Investment Guarantee Agency (MIGA), and the International Centre for Settlement of Investment Disputes (ICSID).    The World Bank Group's investment strategy focuses on a wide range of asset classes, including fixed income, infrastructure, private equity, real estate, and venture capital. It engages in various stages of investment, from pre-seed to distressed situations, aiming to address the diverse needs of developing countries. The Group's geographical focus spans numerous countries, with a significant presence in regions such as the United States, Kenya, China, India, Brazil, Mexico, Indonesia, Nigeria, Pakistan, Bangladesh, Russia, Japan, Germany, the United Kingdom, France, Italy, South Korea, Canada, Australia, and Spain. Its investments cover multiple industries, including technology, healthcare, real estate, financial services, energy, education, agriculture, infrastructure, telecommunications, transportation, manufacturing, retail, media, entertainment, and consumer goods.    The World Bank Group's track record includes financing over 12,000 development projects since 1947, demonstrating its commitment to sustainable development and poverty reduction. Its philosophy centers on providing comprehensive support to developing countries through policy advice, research and analysis, and technical assistance, aiming to foster economic growth and improve living standards globally.</t>
  </si>
  <si>
    <t>Fixed Income (Debt and Bonds), Infrastructure, Private Equity, Real Estate, Venture Capital</t>
  </si>
  <si>
    <t>Financial Services, Technology, Healthcare, Energy, Consumer Goods, Real Estate, Infrastructure, Telecommunications, Media, Retail, Education, Agriculture, Transportation, Manufacturing, Entertainment</t>
  </si>
  <si>
    <t>United States, United Kingdom, Canada, Germany, Japan, Australia, China, India, Brazil, France, Italy, Spain, Mexico, Indonesia, Kenya, South Korea, Pakistan, Bangladesh, Russia, Nigeria</t>
  </si>
  <si>
    <t>Projects must align with the World Bank Group's mission to reduce poverty and promote shared prosperity., Investments should be in developing countries or regions with significant development needs., Projects must adhere to the World Bank Group's environmental and social safeguards., Investments should contribute to sustainable development and have a measurable impact on development outcomes.</t>
  </si>
  <si>
    <t>Acumen Fund, African Development Bank, Asian Infrastructure Investment Bank, Bill &amp; Melinda Gates Foundation, BlackRock, Bloomberg Philanthropies, Citi Foundation, Clinton Foundation, Coca-Cola Foundation, Coca-Cola Company, Coca-Cola HBC, Coca-Cola FEMSA, Coca-Cola Beverages Africa, Coca-Cola Amatil, Coca-Cola European Partners, Coca-Cola Bottlers Japan Holdings, Coca-Cola Bottling Company United, Coca-Cola Bottling Company Consolidated, Coca-Cola Bottling Co. of Northern New England, Coca-Cola Bottling Co. of the Southwest, Coca-Cola Bottling Co. of the Carolinas</t>
  </si>
  <si>
    <t>Octave Capital</t>
  </si>
  <si>
    <t>https://www.octavecapital.co/</t>
  </si>
  <si>
    <t>https://www.linkedin.com/company/octave-capital</t>
  </si>
  <si>
    <t>Octave Capital is an independent investment firm committed to deploying capital with clarity, coherence, and long-term purpose to build the regenerative economy of the future. Formerly known as Heritas Capital, the firm rebranded in August 2025 to reflect its deeper commitment to impact investing and long-term systems transformation. Established in 1997, Octave Capital holds a Capital Markets Services (CMS) licence from the Monetary Authority of Singapore. The firm manages private equity and venture capital investments across global sectors, focusing on generating positive social and environmental outcomes in Asia. Its approach combines institutional discipline with intentional design, ensuring capital is aligned to outcomes that matter. Inspired by the harmony and structure of a musical octave, Octave Capital aims to bring coherence across people, planet, and capital, investing in businesses that are financially sustainable, socially relevant, and regenerative by design. The firm's impact investing approach is intentional in both design and execution, embedding measurable social and environmental outcomes at the core of every investment decision. Octave Capital holds itself accountable for delivering not only financial returns but also meaningful, demonstrable impact. Its six core impact pillars span the essential systems of a Well-being Economy: Well-being (including healthcare and education), Climate &amp; Nature, Energy Transition, Food Systems, Circular Economy, and Human Construct. The firm seeks collaborations with like-minded partners globally to further develop the well-being ecosystem and drive meaningful transformation in Asia. Octave Capital invests in companies that enhance well-being, regenerate nature, and reshape industries for a sustainable future, delivering lasting impact and enduring value through intentional, purpose-driven transformation. The firm's investment themes include Healthy Living, Lifelong Learning, and Smart Platforms. In the Healthy Living sector, Octave Capital focuses on investments that improve accessibility to curative healthcare and preventive solutions, such as food-tech innovations and digital health solutions. In Lifelong Learning, the firm seeks opportunities with providers that increase access and quality learning across all educational levels, including continuous re-skilling and up-skilling for adults and technology-enabled solutions. In Smart Platforms, Octave Capital supports sustainable growth that benefits local communities by funding developments in artificial intelligence and data analytics on super-app platforms, contributing to applications in various fields, including smart mobility, urban solutions, regenerative agriculture, and energy transitions. The firm's portfolio includes companies that align with its investment themes and impact pillars, reflecting its commitment to creating a flourishing future through intentional and purposeful investments. Octave Capital continues to manage private equity and venture capital strategies with a sharpened focus on the Well-being economy to generate positive social and environmental outcomes. The firm's rebranding to Octave Capital reflects its renewed commitment to invest with intention and clarity, believing that capital must deliver more than financial returns and be accountable to outcomes that truly matter. The name Octave draws from the universal language of music, where harmony and structure exist within complexity, mirroring the firm's investment philosophy of financing business models attuned to societal needs and regenerative by design. While the name has changed, Octave Capital remains an independent, MAS-regulated fund manager, governed by a professional board and fund investment committees. The firm looks forward to continuing its journey with purpose-aligned partners who share the belief that capital, when consciously deployed, will be instrumental in creating a flourishing future. Octave Capital's impact investing approach is intentional in both design and execution, embedding measurable social and environmental outcomes at the core of every investment decision. The firm holds itself accountable for delivering not only financial returns but also meaningful, demonstrable impact. Its six core impact pillars span the essential systems of a Well-being Economy: Well-being (including healthcare and education), Climate &amp; Nature, Energy Transition, Food Systems, Circular Economy, and Human Construct. The firm seeks collaborations with like-minded partners globally to further develop the well-being ecosystem and drive meaningful transformation in Asia. Octave Capital invests in companies that enhance well-being, regenerate nature, and reshape industries for a sustainable future, delivering lasting impact and enduring value through intentional, purpose-driven transformation. The firm's investment themes include Healthy Living, Lifelong Learning, and Smart Platforms. In the Healthy Living sector, Octave Capital f</t>
  </si>
  <si>
    <t>Seed, Early Stage, Growth, Late Stage, Pre-IPO, Buyout, Turnaround, Distressed, Series A, Series B</t>
  </si>
  <si>
    <t>ESG and Impact Investing, Private Equity, Venture Capital, Fund of Funds</t>
  </si>
  <si>
    <t>Financial Services, Technology, Healthcare, Energy, Consumer Goods, Real Estate, Telecommunications, Media, Retail, Education, Agriculture, HealthTech, FoodTech, EdTech, FinTech, Logistics, Transportation, Hospitality, Digital Health, Manufacturing, AgriTech, Biotech, Medtech, Cleantech, Energy Transition, Environment, Food Security, Maritime Decarbonization, Sustainable Aquaculture, Ocean Renewable Energy, Green Shipping Infrastructure, Ocean Biodiversity and Restoration, Circular Resources, Marine Biotechnology, Nature and Climate, Telehealth, Smart Mobility</t>
  </si>
  <si>
    <t>United States, United Kingdom, Germany, Japan, Australia, Singapore, China, India, France, Denmark, Indonesia, South Korea, Pakistan, Bangladesh, Netherlands, Vietnam, Malaysia, New Zealand, Philippines, Sweden, Thailand, Norway, Finland, Sri Lanka, Nepal, Myanmar, Cambodia, Laos, Papua New Guinea, Brunei, Timor-Leste, Fiji, New Caledonia</t>
  </si>
  <si>
    <t>Alignment with UN Sustainable Development Goals, Focus on environmental and social impact, Early-stage and growth companies in targeted sectors, Impact-driven companies, Innovative business models, Scalable solutions, Positive social and environmental outcomes, Positive social and environmental impact, Alignment with investment themes</t>
  </si>
  <si>
    <t>Hummingbird Bioscience, Holmusk, Alchemy Foodtech, Cakap, ConveGenius, MFine, Alodoktor, BHL Education, Q&amp;M Dental, Timberland Medical Centre, Wholly Greens, Kreedo Early Childhood Solutions</t>
  </si>
  <si>
    <t>Oikocredit</t>
  </si>
  <si>
    <t>Berkenweg 7, 3818 LA Amersfoort</t>
  </si>
  <si>
    <t>Utrecht</t>
  </si>
  <si>
    <t>https://www.oikocredit.org/</t>
  </si>
  <si>
    <t>info@oikocredit.org</t>
  </si>
  <si>
    <t>+31 33 422 40 40</t>
  </si>
  <si>
    <t>Oikocredit is a cooperative society based in the Netherlands that provides loans and investment capital to microfinance institutions, cooperatives, and small and medium-sized enterprises in developing countries. Established in 1975, it is one of the world's largest private financiers of the microfinance sector. The organization focuses on sectors such as financial services, agriculture, and renewable energy, aiming to empower communities and foster sustainable development.  Oikocredit's investment strategy involves collaborating with trusted, carefully selected partners in 33 focus countries to ensure that investments reach the people who need them most. This approach empowers individuals to build better lives and futures. The cooperative offers various investment options, including shares and bonds, with a minimum investment of €200, allowing individuals to participate in social impact investing.  With over 45,600 investors and a total asset value of €1,082.4 million, Oikocredit has a significant presence in the impact investing sector. The organization has been recognized for its commitment to social impact investing, celebrating its 50th anniversary in 2025 with a refreshed brand and a new website to enhance its engagement with the global community. Oikocredit's mission continues to be centered on creating positive change through responsible and impactful investments.</t>
  </si>
  <si>
    <t>ESG and Impact Investing, Fixed Income (Debt and Bonds), Private Equity, Venture Capital</t>
  </si>
  <si>
    <t>Financial Services, Renewable Energy, Agriculture</t>
  </si>
  <si>
    <t>India, Brazil, Mexico, Indonesia, Ghana, Kenya, Algeria, Pakistan, Bangladesh, South Africa, Vietnam, Afghanistan, Bosnia and Herzegovina, Niger, Sudan, Mali, Ethiopia, Philippines, Nigeria, Rwanda, Zambia, Argentina, Colombia, Peru, Uganda, Tanzania, Burundi, Sri Lanka, Nepal, Cambodia, Laos, El Salvador, Bolivia, Dominican Republic, Cameroon, Senegal, Côte d'Ivoire, Mozambique, Angola, Albania, Armenia, Ecuador, Paraguay, Guatemala, Honduras, Nicaragua, Kyrgyzstan, Benin, Zimbabwe, Malawi, Sierra Leone, Liberia, Burkina Faso, Madagascar, Togo</t>
  </si>
  <si>
    <t>Modest dividends, No hidden fees, Full transparency, Flexible access to investment with no minimum holding period</t>
  </si>
  <si>
    <t>Hassad Food Company</t>
  </si>
  <si>
    <t>Sovereign Wealth Fund</t>
  </si>
  <si>
    <t>Al Corniche Street, Zone 20, Doha</t>
  </si>
  <si>
    <t>QA</t>
  </si>
  <si>
    <t>https://www.hassad.com/</t>
  </si>
  <si>
    <t>https://www.linkedin.com/company/hassad-food</t>
  </si>
  <si>
    <t>info@hassad.com</t>
  </si>
  <si>
    <t>+974-44079292</t>
  </si>
  <si>
    <t>Established in 2008, Hassad Food Company is a sovereign wealth fund and Qatar's strategic investment arm in the food and agribusiness sectors. The company holds a diversified portfolio of strategic commercial investments, both domestically and internationally, supporting Qatar's priority food security efforts. Domestically, Hassad has investments across multiple sub-sectors, including poultry, livestock, animal feed, dairy, fruits, vegetables, and supply-chain management. On the international front, Hassad has strategically invested in key organizations across Australia, Canada, Turkey, Oman, and other regions. Globally, Hassad's activities focus on grains and oilseeds, poultry, livestock, and aquaculture.    Hassad Food continues to play a pivotal role in food security, crisis management, and major events, while also driving advancements in research, development, and innovation. The company operates under a dual mandate: to support Qatar in achieving food security and to generate value and sustainable financial returns for its stakeholders. In June 2013, Hassad Food announced plans to invest $500 million in India to secure the production of coffee, rice, and cardamom, including acquiring majority ownership of Indian food production company Bush Foods Overseas Ltd. In December 2014, Hassad Food submitted a First Information Report against Bush Food Overseas Ltd on the basis that they had allegedly falsified their financial statements and inventory records.    In 2014, Hassad acquired shares in the largest fully integrated poultry project in Oman, A'Saffa Foods. Located in Thumrait, South Oman, A'Saffa Foods produces high-quality fresh and frozen poultry products, in addition to a wide range of frozen vegetables, fruits, and processed frozen seafood products. In 2019, Hassad invested in the downstream seafood sector in Oman by acquiring shares in the International Seafood Company. In 2020, Hassad acquired shares in Sunrise Foods International, the world's leading organic grains and oilseeds processor and trader. Sunrise Foods specializes in the trade of organic and conventional grains and oilseeds and has a significant market share in North American and European markets. The company sources high-quality grains from an extensive network of producers and suppliers and seamlessly delivers them to their customers worldwide. Based in Canada, the company markets its products in the United States, as well as to European markets. Sunrise Foods has facilities in the United States, Canada, and Turkey.    Hassad Food's investment strategy focuses on sectors such as agriculture, food production, livestock, poultry, dairy, grains, oilseeds, aquaculture, animal feed, vegetables, fruits, seafood, logistics, supply chain management, and retail. The company has a global geographical focus, with investments in countries including Australia, Canada, Turkey, Oman, Sudan, India, Brazil, Pakistan, United States, United Kingdom, France, Germany, Italy, Spain, Netherlands, Belgium, Switzerland, Denmark, Norway, Sweden, and Finland. The company's investment size ranges from $500 million to $1 billion, reflecting its commitment to substantial investments in the food and agribusiness sectors to enhance Qatar's food security and generate sustainable financial returns for its stakeholders.</t>
  </si>
  <si>
    <t>Commodities, Private Equity, Real Estate, Venture Capital</t>
  </si>
  <si>
    <t>Retail, Agriculture, Logistics, Aquaculture, Food Production, Seafood, Supply Chain Management, Dairy, Poultry, Livestock, Grains, Oilseeds, Animal Feed, Vegetables, Fruits</t>
  </si>
  <si>
    <t>United States, United Kingdom, Canada, Germany, Australia, India, Brazil, France, Italy, Denmark, Switzerland, Spain, Oman, Turkey, Pakistan, Netherlands, Sudan, Sweden, Belgium, Norway, Finland</t>
  </si>
  <si>
    <t>Commercial viability, Alignment with Qatar's food security objectives, Sustainable growth potential, Strategic importance in the food and agribusiness sectors</t>
  </si>
  <si>
    <t>Bush Foods Overseas Ltd, A'Saffa Foods, Sunrise Foods International, International Seafood Company</t>
  </si>
  <si>
    <t>Naspers Limited</t>
  </si>
  <si>
    <t>40 Heerengracht, Cape Town</t>
  </si>
  <si>
    <t>Western Cape</t>
  </si>
  <si>
    <t>ZA</t>
  </si>
  <si>
    <t>https://www.naspers.com</t>
  </si>
  <si>
    <t>https://www.linkedin.com/company/prosusventures</t>
  </si>
  <si>
    <t>InvestorRelations@naspers.com</t>
  </si>
  <si>
    <t>+1 347-210-4305</t>
  </si>
  <si>
    <t>Naspers Limited is a South African multinational consumer internet group and one of the largest technology investors globally. The company operates across various sectors, including online retail, publishing, real estate, and venture capital investment. Its portfolio encompasses a diverse range of businesses, from e-commerce platforms to fintech and edtech companies, reflecting its broad investment strategy.    Strategically, Naspers focuses on high-growth markets, particularly in emerging economies, aiming to build leading companies in sectors such as technology, media, and e-commerce. The company's investment approach spans multiple stages, from early-stage ventures to late-stage investments, buyouts, and turnaround situations. This diversified strategy enables Naspers to adapt to various market conditions and capitalize on a wide array of opportunities.    Naspers has a notable track record in the technology sector, highlighted by its significant stake in Tencent, a Chinese internet giant. This investment has been a cornerstone of Naspers' portfolio, contributing substantially to its financial performance. The company's philosophy centers on long-term value creation, focusing on building sustainable businesses that can lead in their respective markets. This approach has positioned Naspers as a prominent player in the global technology investment landscape.</t>
  </si>
  <si>
    <t>Equity, Debt, Real Estate, Venture Capital, Private Equity, Infrastructure, Commodities, Crypto, ESG and Impact Investing</t>
  </si>
  <si>
    <t>Technology, Real Estate, Infrastructure, Media, EdTech, FinTech, E-commerce, Crypto, Commodities, ESG and Impact Investing, Payments, Food Delivery, Classifieds</t>
  </si>
  <si>
    <t>China, India, Brazil, Mexico, Indonesia, Kenya, Egypt, Turkey, Pakistan, Bangladesh, South Africa, Russia, Greece, Thailand, Nigeria, Poland, Chile, Argentina, Colombia, Peru</t>
  </si>
  <si>
    <t>High-growth potential, Market leadership, Sustainable business models, Alignment with Naspers' strategic focus areas</t>
  </si>
  <si>
    <t>Tencent, Takealot.com, Media24, Property24, OLX, PayU, iFood, Delivery Hero, Swiggy, eMag, Ctrip, Bykea, Codecademy, Stack Overflow, Brainly, Udemy, Mr D Food, Superbalist, Takealot for Business, Inospace</t>
  </si>
  <si>
    <t>Mashreq Capital</t>
  </si>
  <si>
    <t>Al Fattan Currency House, Tower 1, Floor 1, Office 111, DIFC, Post Box 1250, Dubai, U.A.E</t>
  </si>
  <si>
    <t>https://www.mashreqcapital.ae</t>
  </si>
  <si>
    <t>https://www.linkedin.com/company/mashreq-capital-difc-limited</t>
  </si>
  <si>
    <t>marketingteam@mashreq.com</t>
  </si>
  <si>
    <t>+971 4 424 4618</t>
  </si>
  <si>
    <t xml:space="preserve">Mashreq Capital is a wholly owned subsidiary of Mashreq Bank, established in 2006 and regulated by the Dubai Financial Services Authority (DFSA). The firm specializes in managing a diverse range of assets, including fixed income, equities, and alternative investments, with a strong focus on the Middle East and North Africa (MENA) regions. Mashreq Capital offers both conventional and Shari'ah-compliant investment solutions, catering to institutional investors and ultra-high-net-worth individuals.    The firm's investment strategy is characterized by a comprehensive approach that leverages regional expertise and fundamental research capabilities. Mashreq Capital manages several public funds and discretionary portfolios, benchmarking them against internationally recognized indices to facilitate portfolio optimization. The firm emphasizes a fiduciary culture, ensuring that its funds and portfolio managers adhere to the highest standards applicable to the asset management industry globally.    Mashreq Capital has been recognized with several accolades for its exemplary fund performance, including the 2017 Lipper Fund Award for Best Fund Performance over 5 Years and the 2016 MENA Fund Manager Award for Best Shari'ah Compliant Fund of the Year. The firm's commitment to excellence is further demonstrated by its strategic partnerships, such as the collaboration with Goldman Sachs Asset Management in 2025 to offer discretionary investment services tailored for high-net-worth individuals in the Gulf region.    </t>
  </si>
  <si>
    <t>Fixed Income (Debt and Bonds), Equities, Alternative Investments</t>
  </si>
  <si>
    <t>Financial Services, Technology, Healthcare, Energy, Consumer Goods, Real Estate, Infrastructure, Telecommunications, Banking, Asset Management, Investment Management, Private Equity, Venture Capital, Hedge Funds, Commodities</t>
  </si>
  <si>
    <t>United States, United Kingdom, Hong Kong, India, United Arab Emirates, Saudi Arabia, Qatar, Kuwait, Oman, Egypt, Tunisia, Libya, Lebanon, Bahrain, Pakistan, Jordan, Bangladesh, Iraq, Yemen, Syria, Nepal</t>
  </si>
  <si>
    <t>Accredited investor status required, Compliance with DFSA regulations, Adherence to Mashreq Capital's investment policies and guidelines, Acceptance of investment terms and conditions as outlined in the offering documents</t>
  </si>
  <si>
    <t>Mashreq Global Conservative Fund, Mashreq Global Balanced Fund, Mashreq Global Growth Fund, Mashreq Alternative Opportunities Fund, Mashreq MENA Equity Fund, Mashreq MENA Fixed Income Fund, Mashreq Global Emerging Markets Bond Fund</t>
  </si>
  <si>
    <t>Actis</t>
  </si>
  <si>
    <t>2 More London Riverside, London</t>
  </si>
  <si>
    <t>https://www.act.is</t>
  </si>
  <si>
    <t>https://www.linkedin.com/company/actis/</t>
  </si>
  <si>
    <t>info@act.is</t>
  </si>
  <si>
    <t>+44 (0) 207 234 5154</t>
  </si>
  <si>
    <t>Actis is a prominent global investor specializing in sustainable infrastructure, with a strong presence in growth markets across Asia, Africa, and Latin America. The firm focuses on delivering competitive returns through investments in energy, infrastructure, and real estate sectors, emphasizing sustainability and operational excellence. Actis has raised approximately $25 billion since its inception, reflecting its significant impact in these regions.    The firm's investment strategy is centered on thematic investing, targeting structural themes that support long-term, equitable growth in critical infrastructure. Actis applies deep operational expertise to each investment, aiming to mitigate risks, create value, and future-proof assets. This approach has led to a diverse portfolio, including significant investments in energy transition, digitalization, and supply chain transformation projects.    In October 2024, Actis was acquired by General Atlantic, a leading global growth investor, creating a diversified platform with approximately $97 billion in combined assets under management. Despite the acquisition, Actis continues to operate as General Atlantic's sustainable infrastructure business, maintaining its focus on delivering positive impact through investments in essential services and infrastructure projects worldwide.</t>
  </si>
  <si>
    <t>Infrastructure, Energy, Real Estate</t>
  </si>
  <si>
    <t>Energy, Real Estate, Infrastructure, Private Equity, Digital Infrastructure</t>
  </si>
  <si>
    <t>United Kingdom, China, India, Brazil, Mexico, Indonesia, Kenya, Egypt, Turkey, Pakistan, South Africa, Vietnam, Malaysia, Philippines, Thailand, Nigeria, Zambia, Chile, Colombia, Peru</t>
  </si>
  <si>
    <t>Sustainable infrastructure projects, Growth markets in Asia, Africa, and Latin America, Energy, infrastructure, and real estate sectors</t>
  </si>
  <si>
    <t>Atlantic Energias Renováveis, Indorama Eleme Fertilisers and Chemicals, BTE Renewables, Yellow Door Energy, BluPine Energy, Rezolv Energy, Levanta Renewables, Lekela Power, Catalyze, Nozomi, Emicool, An Phat Holdings, Swiftnet, Stride, MGreen</t>
  </si>
  <si>
    <t>Indies Capital Partners</t>
  </si>
  <si>
    <t>23 Church Street Capital Square One #09-13 Singapore 049481</t>
  </si>
  <si>
    <t>https://www.indiescp.com</t>
  </si>
  <si>
    <t>https://www.linkedin.com/company/indies-capital-partners</t>
  </si>
  <si>
    <t>enquiries@indiescp.com</t>
  </si>
  <si>
    <t>+(65) 6450 2688</t>
  </si>
  <si>
    <t>Indies Capital Partners is a prominent alternative asset manager based in Singapore, specializing in private credit and private equity investments across Southeast Asia. Founded in 2009, the firm has invested over US$1.4 billion across various strategies, establishing itself as a top-quartile performer in the region. Its clientele includes sovereign wealth funds, regional financial institutions, family offices, and high-net-worth individuals. The firm operates with a team of experienced professionals, averaging 27 years of partner experience, and has been involved in more than 55 deals since 2013.    The firm's investment strategies encompass private credit and structured equity investments in mature and emerging companies, as well as private equity investments in mid-to-late stage new economy companies. In 2017, Indies formed a strategic alliance with Värde Partners to co-invest in private credit opportunities in Indonesia. In 2020, it expanded its reach through a strategic alliance with AC Ventures, a Southeast Asian seed-stage fund manager. These alliances have enabled Indies to enhance its investment capabilities and broaden its portfolio across the region.    Indies Capital Partners maintains a strong commitment to sustainable investing, implementing a strict exclusion list to avoid investments in sectors detrimental to society and the environment. The firm conducts rigorous due diligence processes to identify and mitigate ESG risks, often with the support of third-party experts. Post-investment, Indies actively monitors ESG performance, engages with portfolio companies, and encourages sustainable practices, ensuring that its investments align with responsible and ethical standards.</t>
  </si>
  <si>
    <t>Private Equity, Private Credit</t>
  </si>
  <si>
    <t>Financial Services, Technology, Healthcare, Energy, Consumer Goods, Real Estate, Infrastructure, Telecommunications, Retail, Education, Agriculture, E-commerce, Tourism and Hospitality, Media and Entertainment, Transportation and Logistics</t>
  </si>
  <si>
    <t>Alpha JWC Ventures</t>
  </si>
  <si>
    <t>Jakarta Pusat, Jakarta Raya</t>
  </si>
  <si>
    <t>https://www.alphajwc.com/</t>
  </si>
  <si>
    <t>info@alphajwc.com</t>
  </si>
  <si>
    <t>Alpha JWC Ventures is a prominent venture capital firm based in Jakarta, Indonesia, specializing in early-stage investments in technology companies across Southeast Asia. The firm focuses on sectors such as FinTech, Consumer Tech, E-commerce, HealthTech, EdTech, Logistics, Media, Entertainment, Food &amp; Beverage, Retail, Travel &amp; Hospitality, Real Estate, Agriculture, and Energy. Their investment stages range from Seed to Growth, including Series A and B rounds.    The firm's investment strategy emphasizes active portfolio management, providing not only capital but also strategic guidance to foster growth and innovation. They are committed to building long-term partnerships with founders, offering expertise, regional knowledge, and dedication to creating positive impacts. Alpha JWC Ventures has a strong presence in Indonesia and has expanded its reach to other Southeast Asian countries, including Singapore, Malaysia, Thailand, Vietnam, the Philippines, Myanmar, Laos, Cambodia, Brunei, Timor-Leste, Bangladesh, Pakistan, Sri Lanka, Nepal, the Maldives, Bhutan, Afghanistan, Mongolia, and South Korea.    With a track record of successful investments, Alpha JWC Ventures has supported numerous startups in their growth journeys. Their portfolio includes companies in various industries, reflecting their diverse investment approach. The firm is known for its disciplined investment process and active involvement in portfolio companies, aiming to build lasting legacies and make a positive impact in the region.</t>
  </si>
  <si>
    <t>Seed, Early Stage, Growth, Series A, Series B</t>
  </si>
  <si>
    <t>Financial Services, Technology, Healthcare, Energy, Real Estate, Media, Retail, Education, Agriculture, HealthTech, EdTech, FinTech, E-commerce, Logistics, SaaS, Entertainment, B2B, Food &amp; Beverage, Travel, Consumer Tech, Travel &amp; Hospitality</t>
  </si>
  <si>
    <t>Singapore, China, India, Indonesia, South Korea, Pakistan, Bangladesh, Vietnam, Mongolia, Malaysia, Afghanistan, Philippines, Thailand, Maldives, Sri Lanka, Nepal, Bhutan, Myanmar, Cambodia, Laos, Brunei, Timor-Leste</t>
  </si>
  <si>
    <t>Innovative business model, Scalable growth potential, Strong founding team, Clear market differentiation, Ability to achieve significant market share, Commitment to positive social impact</t>
  </si>
  <si>
    <t>Carro, VIDA, Kredivo, Moglix, Pomelo, Livspace, Builder.ai, Sociolla, eKan, Delos, Arrow, IDEAL Indonesia, Base.vn, Bumame, eFishery, TaniHub, Katalon, Katalon Studio, Katalon TestOps, Katalon Recorder, Katalon Analytics, Alodokter, Warung Pintar, Kargo Technologies</t>
  </si>
  <si>
    <t>Crescendo Equity Partners</t>
  </si>
  <si>
    <t>Seoul, South Korea</t>
  </si>
  <si>
    <t>https://www.crescendoep.com</t>
  </si>
  <si>
    <t>info@crescendoep.com</t>
  </si>
  <si>
    <t>+82-2-6030-8550</t>
  </si>
  <si>
    <t>Crescendo Equity Partners is a private equity firm established in 2012 with the sponsorship of Peter Thiel. The firm specializes in investing in mid-cap manufacturing and technology companies across Asia, aiming to transform them into global leaders. Its portfolio includes investments in sectors such as semiconductors, Web3, and digital media.  The firm's investment strategy targets companies with exceptional technologies and high growth potential. It focuses on traditional B2B hardware sectors like semiconductors and parts, as well as software sectors that are emerging growth engines, including IT security and factory automation. Crescendo's approach involves active engagement with portfolio companies, providing strategic and operational support to drive growth and profitability.  Crescendo Equity Partners has a track record of significant investments, including a $140 million funding round in December 2023 for LINE NEXT, a subsidiary of LINE Corporation dedicated to developing the NFT ecosystem. This investment was the largest in the Asian blockchain and Web3 industry that year. Additionally, the firm has played a pivotal role in the Korean semiconductor industry through investments in companies like HPSP, Hanmi Semiconductor, Samyang NCchem, and Movensys, contributing to their growth and global expansion.</t>
  </si>
  <si>
    <t>Technology, Healthcare, Automotive, FinTech, E-commerce, Logistics, Artificial Intelligence, Blockchain, Manufacturing, Digital Media, Cybersecurity, Semiconductors, Biotechnology, Web3, Consumer Electronics</t>
  </si>
  <si>
    <t>High growth potential, Exceptional technologies, Mid-cap manufacturing and technology companies in Asia</t>
  </si>
  <si>
    <t>LINE NEXT, HPSP, Hanmi Semiconductor, Samyang NCchem, Movensys</t>
  </si>
  <si>
    <t>China Mobile Communications Group Corporation</t>
  </si>
  <si>
    <t>29 Financial Street, Xicheng District, Beijing</t>
  </si>
  <si>
    <t>Beijing</t>
  </si>
  <si>
    <t>https://www.chinamobileltd.com/en/global/home.php</t>
  </si>
  <si>
    <t>ir@chinamobilehk.com</t>
  </si>
  <si>
    <t>+852 3121 8888</t>
  </si>
  <si>
    <t>China Mobile Communications Group Corporation is a state-owned enterprise in China, primarily engaged in the telecommunications sector. It operates the world's largest mobile network, providing services across all 31 provinces, autonomous regions, and directly-administered municipalities in mainland China, as well as in Hong Kong. The company offers a comprehensive range of services, including mobile voice and data, wireline broadband, and other information and communications services.    In addition to its core telecommunications business, China Mobile has diversified its investments into various sectors to strengthen its portfolio. These sectors encompass technology, infrastructure, real estate, financial services, healthcare, consumer goods, energy, media, transportation, education, agriculture, mining, retail, automotive, pharmaceuticals, chemicals, utilities, construction, and logistics. The company's investment strategy focuses on growth, late-stage investments, buyouts, turnarounds, and distressed assets.    China Mobile's international presence extends beyond mainland China and Hong Kong, with operations in Pakistan, the United Kingdom, Japan, Thailand, Singapore, Italy, and Canada. This global footprint reflects the company's commitment to expanding its influence and capitalizing on opportunities in diverse markets. The company's diversified investment approach and international expansion underscore its strategic vision to become a leading global enterprise in multiple industries.</t>
  </si>
  <si>
    <t>Telecommunications, Technology, Infrastructure, Real Estate, Financial Services, Healthcare, Consumer Goods, Energy, Media, Transportation, Education, Agriculture, Mining, Retail, Automotive, Pharmaceuticals, Chemicals, Utilities, Construction, Logistics</t>
  </si>
  <si>
    <t>Financial Services, Technology, Healthcare, Energy, Consumer Goods, Real Estate, Infrastructure, Telecommunications, Utilities, Media, Automotive, Retail, Education, Agriculture, Logistics, Transportation, Construction, Pharmaceuticals, Chemicals, Mining</t>
  </si>
  <si>
    <t>United Kingdom, Canada, Hong Kong, Japan, Singapore, China, Italy, Pakistan, Thailand</t>
  </si>
  <si>
    <t>Strong market position, Innovative technologies, Sustainable growth potential, Experienced management teams, Alignment with strategic objectives</t>
  </si>
  <si>
    <t>Zong, China Mobile Hong Kong Company Limited, China Mobile Tietong, China Mobile Limited, China Mobile International Limited, China Mobile Research Institute, China Mobile IoT Company Limited, China Mobile Games and Entertainment Group Limited, China Mobile Capital Limited, China Mobile Financial Services Company Limited, China Mobile International Holdings Limited, China Mobile International Limited (Singapore), China Mobile International Limited (United Kingdom), China Mobile International Limited (Pakistan), China Mobile International Limited (Italy), China Mobile International Limited (Canada), China Mobile International Limited (Japan), China Mobile International Limited (Thailand), China Mobile International Limited (Hong Kong), China Mobile International Limited (Macau)</t>
  </si>
  <si>
    <t>BlueOrchard</t>
  </si>
  <si>
    <t>Seefeldstrasse 231, Zurich</t>
  </si>
  <si>
    <t>Zurich</t>
  </si>
  <si>
    <t>CH</t>
  </si>
  <si>
    <t>https://www.blueorchard.com/</t>
  </si>
  <si>
    <t>https://www.linkedin.com/company/blueorchard-finance-ltd</t>
  </si>
  <si>
    <t>info@blueorchard.com</t>
  </si>
  <si>
    <t>+41 44 505 28 00</t>
  </si>
  <si>
    <t>BlueOrchard is a global impact investment firm with over two decades of experience, dedicated to fostering sustainable development and financial inclusion. The firm manages a diverse portfolio across various asset classes, including microfinance, private equity, and venture capital, aiming to generate positive social and environmental impact alongside attractive financial returns.    With a presence in over 30 emerging and frontier markets, BlueOrchard focuses on sectors such as financial services, technology, healthcare, agriculture, education, energy, infrastructure, manufacturing, retail, telecommunications, transportation, real estate, media, consumer goods, and hospitality. The firm's investment strategy spans multiple stages, from seed and early-stage investments to growth, late-stage, pre-IPO, buyout, turnaround, and distressed opportunities.    BlueOrchard's commitment to impact investing is underscored by its membership in the 2X Collaborative, a platform promoting gender lens investing. This affiliation reflects the firm's dedication to addressing global challenges, including gender equality, through its investment practices. The firm's approach combines financial expertise with a strong focus on social and environmental outcomes, aiming to create lasting positive change in underserved communities worldwide.</t>
  </si>
  <si>
    <t>India, Mexico, Indonesia, Ghana, Kenya, Egypt, Tunisia, Morocco, Algeria, Lebanon, Pakistan, Jordan, Bangladesh, Somalia, South Africa, Vietnam, Mongolia, Malaysia, Afghanistan, Bosnia and Herzegovina, Palestine, Niger, Sudan, Mali, Chad, Ethiopia, Djibouti, Mauritania, Yemen, Philippines, Nigeria, Rwanda, Zambia, Argentina, Colombia, Peru, Syria, Comoros, Sao Tome and Principe, Eritrea, Uganda, Tanzania, Burundi, South Sudan, Mauritius, Maldives, Sri Lanka, Nepal, Bhutan, Myanmar, Cambodia, Laos, El Salvador, Bolivia, Panama, Venezuela, Dominican Republic, Costa Rica, Cape Verde, Cameroon, Senegal, Côte d'Ivoire, Mozambique, Angola, North Macedonia, Albania, Moldova, Armenia, Ecuador, Paraguay, Guatemala, Honduras, Nicaragua, Kazakhstan, Uzbekistan, Kyrgyzstan, Papua New Guinea, Jamaica, Tajikistan, Benin, Zimbabwe, Gabon, Namibia, Malawi, Sierra Leone, Liberia, Burkina Faso, Central African Republic, Gambia, Guinea, Guinea-Bissau, Kiribati, Lesotho, Madagascar, Solomon Islands, Suriname, Togo, Vanuatu, West Bank and Gaza, Timor-Leste, Congo, Micronesia, Congo (Democratic Republic)</t>
  </si>
  <si>
    <t>Institutional Clients, Qualified Investors, Accredited Investors</t>
  </si>
  <si>
    <t>Svasti Microfinance, Equity Bank, FINCA International, Grameen Foundation, Kiva, MicroEnsure, One Acre Fund, Pro Mujer, VisionFund International, FINCA Impact Finance, Juhudi Kilimo, Musoni Kenya, Ujjivan Financial Services, FINO PayTech, M-KOPA Solar, Jumo, Tata Cleantech Capital, Aavishkaar Venture Management Services, Aavishkaar Frontier Fund, Aavishkaar India II, Aavishkaar India III</t>
  </si>
  <si>
    <t>Abu Dhabi Developmental Holding Company</t>
  </si>
  <si>
    <t>Capital Gate Building, Abu Dhabi</t>
  </si>
  <si>
    <t>https://www.adq.ae</t>
  </si>
  <si>
    <t>media@adq.ae</t>
  </si>
  <si>
    <t>Established in 2018, Abu Dhabi Developmental Holding Company (ADQ) is a sovereign wealth fund based in Abu Dhabi, United Arab Emirates. ADQ focuses on investing in critical infrastructure and global supply chains to deliver long-term value and financial returns for the Emirate. Its portfolio spans various sectors, including energy, utilities, food and agriculture, healthcare, life sciences, transport, logistics, financial services, real estate, aviation, media, tourism, construction, retail, and technology. The company manages assets totaling approximately $225 billion as of June 2024.    ADQ's investment strategy involves both direct and indirect investments in over 90 companies locally and internationally. It aims to develop and support strategically important sector clusters, drive value creation, and contribute to building a diversified economy for the benefit of Abu Dhabi and its people. The company has made significant investments in sectors such as energy and utilities, food and agriculture, healthcare and life sciences, and transport and logistics.    In recent years, ADQ has expanded its portfolio through strategic acquisitions and partnerships. Notably, in March 2025, ADQ acquired a 58% majority stake in logistics firm Aramex, consolidating its position in the logistics sector. Additionally, in September 2024, ADQ completed the acquisition of a 49% stake in Alpha Dhabi Construction Holding, enhancing its presence in the construction industry. These investments reflect ADQ's commitment to supporting the growth and diversification of Abu Dhabi's economy through strategic partnerships and investments.</t>
  </si>
  <si>
    <t>Private Equity, Infrastructure, Real Estate, Venture Capital</t>
  </si>
  <si>
    <t>Financial Services, Technology, Healthcare, Energy, Real Estate, Utilities, Media, Retail, Logistics, Life Sciences, Construction, Aviation, Tourism, Transport, Food and Agriculture</t>
  </si>
  <si>
    <t>United States, United Kingdom, Germany, France, Italy, United Arab Emirates, Spain, Saudi Arabia, Qatar, Kuwait, Oman, Egypt, Lebanon, Bahrain, Turkey, Pakistan, Jordan, Netherlands, Greece</t>
  </si>
  <si>
    <t>Focus on critical infrastructure, Alignment with Abu Dhabi's economic diversification goals, Long-term value creation, Financial returns for the Emirate</t>
  </si>
  <si>
    <t>Etihad Airways, Abu Dhabi Ports Company, Wizz Air Abu Dhabi, Abu Dhabi Securities Exchange, Abu Dhabi National Exhibitions Company, Emirates Nuclear Energy Corporation, Emirates Water and Electricity Company, Louis Dreyfus Company, LuLu Group International, Aramex, Alpha Dhabi Construction Holding, Tadweer Group, Bayzat, EMB, Pyramids FC</t>
  </si>
  <si>
    <t>East Coast Group</t>
  </si>
  <si>
    <t>SW(G) 8, Gulshan Avenue, Gulshan-1, Dhaka 1212</t>
  </si>
  <si>
    <t>Dhaka</t>
  </si>
  <si>
    <t>BD</t>
  </si>
  <si>
    <t>http://www.ecg.com.bd/</t>
  </si>
  <si>
    <t>info@ecg.com.bd</t>
  </si>
  <si>
    <t>+880-2-9884312-7</t>
  </si>
  <si>
    <t>East Coast Group is a prominent Bangladeshi conglomerate with diversified interests spanning multiple sectors. Established in 1977, the group has expanded its portfolio to include energy, manufacturing, real estate, and financial services. Its subsidiary, EC Securities Limited, plays a pivotal role in the group's investment activities, particularly in the oil and gas sector. The group's flagship business remains its oil and gas operations, with a significant presence in downstream petroleum through its majority stake in MJL Bangladesh Limited, a joint venture with ExxonMobil.  The group's investment strategy is characterized by a focus on high ethical standards and best operating practices. It has consistently pursued growth opportunities in sectors such as energy, manufacturing, real estate, and financial services. The group's commitment to responsible business expansion is evident in its investments in tea, insurance, finance, and banking. Additionally, East Coast Group has ventured into aviation and power generation, reflecting its diverse investment approach.  With decades of experience, East Coast Group has established itself as a leading player in Bangladesh's industrial landscape. Its subsidiaries, including EC Securities Limited, MJL Bangladesh Limited, and Omera Petroleum Limited, contribute significantly to the group's success. The group's dedication to ethical business practices and sustainable development continues to drive its growth and influence in the region.</t>
  </si>
  <si>
    <t>Private Equity, Venture Capital, Real Estate, Infrastructure, Commodities, Hedge Funds, Fixed Income (Debt and Bonds), Distressed and Special Situations, Crypto, Collectibles &amp; Art, ESG and Impact Investing</t>
  </si>
  <si>
    <t>Financial Services, Technology, Healthcare, Energy, Real Estate, Telecommunications, Media, Retail, Education, Agriculture, Logistics, Construction, Shipping, Manufacturing, Aviation</t>
  </si>
  <si>
    <t>United States, United Kingdom, Canada, Germany, Japan, Australia, Singapore, China, India, France, Indonesia, Pakistan, Bangladesh, Malaysia, Afghanistan, Thailand, Maldives, Sri Lanka, Nepal, Myanmar</t>
  </si>
  <si>
    <t>High ethical standards, Best operating practices, Focus on energy sector, Interest in manufacturing and real estate, Commitment to responsible business expansion, Interest in financial services, Willingness to invest in aviation and power generation</t>
  </si>
  <si>
    <t>EC Securities Limited, MJL Bangladesh Limited, Omera Petroleum Limited, Omera Fuels Limited, Omera Cylinders Limited, Omera Logistics Limited, EC Aviation Limited, ASP Crew Management, Bangladesh Trade Syndicate Limited, Omera Renewable Energy, Parkesine Products Limited, Radiant Alliance Limited, Nordic Woods Limited, Omera LPG</t>
  </si>
  <si>
    <t>Qualgro VC</t>
  </si>
  <si>
    <t>160 Robinson Road #18-06 SBF Center, Singapore 068914</t>
  </si>
  <si>
    <t>https://qualgro.com/</t>
  </si>
  <si>
    <t>info@qualgro.com</t>
  </si>
  <si>
    <t xml:space="preserve">Qualgro VC is a Singapore-based venture capital firm that focuses on early-stage investments in technology and consumer-related companies across Southeast Asia. The firm primarily invests in sectors such as B2B, Data/AI, and Software, targeting companies at Series A and B stages. Qualgro's mission is to support exceptional entrepreneurs with regional or global growth ambitions, providing them with the resources and expertise needed to scale their businesses effectively.    The firm's investment strategy emphasizes identifying entrepreneurs with the mindset and capabilities to build regional or global companies, leveraging technology advantages, fast execution, and agility in navigating uncertainties. Qualgro's portfolio includes companies in various industries, including technology, financial services, healthcare, education, consumer goods, media, telecommunications, energy, transportation, agriculture, real estate, retail, logistics, manufacturing, and tourism.    Since its inception in 2015, Qualgro has achieved significant milestones, including investments in three unicorns and several full exits, such as IPOs and acquisitions by international players. The firm was awarded 'VC Exit of the Year 2019' by the Singapore Venture Capital &amp; Private Equity Association, recognizing its successful investment strategies and contributions to the Southeast Asian startup ecosystem.    </t>
  </si>
  <si>
    <t>Financial Services, Technology, Healthcare, Energy, Consumer Goods, Real Estate, Telecommunications, Media, Retail, Education, Agriculture, Logistics, Transportation, Manufacturing, Tourism</t>
  </si>
  <si>
    <t>Japan, Australia, Singapore, China, India, Indonesia, South Korea, Pakistan, Bangladesh, Vietnam, Malaysia, New Zealand, Philippines, Thailand, Maldives, Sri Lanka, Nepal, Myanmar, Cambodia, Laos, Brunei</t>
  </si>
  <si>
    <t>Entrepreneurial teams with regional or global growth ambitions, Technology-driven companies with a focus on B2B, Data/AI, or Software, Businesses at Series A and B stages seeking expansion capital</t>
  </si>
  <si>
    <t>Shopback, Funding Societies, PatSnap, Supermom, Appier, Wavecell, EngageRocket, Erudifi, Eyeota, Ralali, NoBroker, Brighte, OpenAgent, Nura, SirionLabs, Oway, Curious Thing, Edmicro</t>
  </si>
  <si>
    <t>SBK Tech Ventures</t>
  </si>
  <si>
    <t>Bay's 23, plot 6, Block SW (1) Gulshan Avenue, Gulshan 1, Dhaka 1212</t>
  </si>
  <si>
    <t>https://sbktech.com/</t>
  </si>
  <si>
    <t>info@sbktech.com</t>
  </si>
  <si>
    <t>(956) 752-6968</t>
  </si>
  <si>
    <t xml:space="preserve">SBK Tech Ventures is a prominent venture capital firm based in Dhaka, Bangladesh, specializing in early-stage investments in technology-driven startups. The firm is dedicated to supporting companies that address fundamental societal challenges through innovative solutions, aiming to improve the lives of ordinary people. SBK Tech Ventures primarily focuses on sectors such as FinTech, AgriTech, LegalTech, EduTech, E-Commerce, and E-Governance, with a strong emphasis on digital development in rural areas.    The firm's investment strategy centers on providing capital to startups in their seed and early stages, including angel, seed, and Series A rounds. SBK Tech Ventures has established itself as a key player in the Bangladeshi tech ecosystem, having invested in over 40 startups across various sectors. Notable investments include Markopolo.ai, Jatri, Solshare, Fashol, Arogga, and 10 Minute School, with individual investments ranging from $1 million to $1.5 million per startup.    SBK Tech Ventures is recognized as the first and only woman-led licensed venture capital firm in Bangladesh. The firm operates in-house accelerators such as 'Net Positive' and 'ExcelerateHer,' as well as an incubator named 'YES, She Can,' reflecting its commitment to fostering innovation and supporting local entrepreneurs. The firm's founder, Sonia Bashir Kabir, has been instrumental in driving its mission to empower tech startups in emerging markets, particularly in South Asia.    </t>
  </si>
  <si>
    <t>Technology, FinTech, E-commerce, AgriTech, EduTech, LegalTech, E-Governance</t>
  </si>
  <si>
    <t>Singapore, India, Indonesia, South Korea, Pakistan, Bangladesh, Vietnam, Malaysia, Afghanistan, Philippines, Thailand, Maldives, Sri Lanka, Nepal, Bhutan, Myanmar, Cambodia, Laos, Brunei, Timor-Leste</t>
  </si>
  <si>
    <t>Innovative technology solutions addressing regional challenges, Scalable business models, Strong founding teams with a clear vision, Technology-driven solutions addressing societal challenges, Focus on digital development in rural areas, Early-stage companies in seed or Series A stages, Early-stage startups in seed and Series A stages</t>
  </si>
  <si>
    <t>Fashol, Markopolo, Jatri, SOLshare, Arogga, 10 Minute School, Markopolo.ai</t>
  </si>
  <si>
    <t>Tofino Capital</t>
  </si>
  <si>
    <t>Washington, District of Columbia</t>
  </si>
  <si>
    <t>https://www.tofinocap.com/</t>
  </si>
  <si>
    <t>eliot@tofinocap.com</t>
  </si>
  <si>
    <t>Tofino Capital is an early-stage venture capital firm focused on investing in emerging market technology companies. The firm seeks to identify and support innovative startups that have the potential to scale and succeed in dynamic and rapidly evolving markets. Tofino Capital's investment approach is characterized by a deep understanding of local market dynamics and a commitment to fostering long-term growth for its portfolio companies.    The firm's investment strategy emphasizes sectors such as Software as a Service (SaaS), e-commerce, fintech, healthtech, edtech, agtech, logistics, media, consumer goods, enterprise software, artificial intelligence, blockchain, cybersecurity, and cloud computing. Tofino Capital is particularly interested in companies that demonstrate resilience and adaptability, qualities that are essential for success in frontier markets. The firm is committed to supporting entrepreneurs who are building businesses that can thrive in diverse and challenging environments.    Tofino Capital's portfolio includes a range of companies that exemplify its investment philosophy. For instance, the firm has invested in Vultron, a company developing innovative solutions in its sector. Additionally, Tofino Capital has supported Boardpac, a South Asian-founded and Southeast Asian-led company, and MoneyHash, a women-founded company, highlighting its commitment to diversity and inclusion in its investment decisions. These investments reflect Tofino Capital's dedication to backing companies that are not only financially promising but also contribute positively to the communities they serve.</t>
  </si>
  <si>
    <t>Technology, Consumer Goods, Media, HealthTech, EdTech, FinTech, E-commerce, Logistics, Artificial Intelligence, Blockchain, Cybersecurity, Agtech, Cloud Computing, Enterprise Software, Software as a Service (SaaS)</t>
  </si>
  <si>
    <t>Singapore, India, Indonesia, Pakistan, Bangladesh, Vietnam, Malaysia, Afghanistan, Philippines, Thailand, Maldives, Sri Lanka, Nepal, Bhutan, Myanmar, Cambodia, Laos, Brunei, Timor-Leste</t>
  </si>
  <si>
    <t>Innovative technology solutions, Scalable business models, Strong management teams, Potential for significant market impact, Commitment to long-term growth</t>
  </si>
  <si>
    <t>Vultron, Boardpac, MoneyHash</t>
  </si>
  <si>
    <t>British International Investment plc</t>
  </si>
  <si>
    <t>123 Victoria Street, London</t>
  </si>
  <si>
    <t>enquiries@bii.co.uk</t>
  </si>
  <si>
    <t>British International Investment plc is the UK's development finance institution, wholly owned by the UK government. It invests in businesses to promote economic development, focusing on emerging markets in South Asia, Africa, and the Caribbean. The institution aims to support sustainable and inclusive economic growth by providing patient, flexible capital to businesses in these regions.    The investment strategy of British International Investment encompasses a wide range of asset classes, including private equity, debt, venture capital, infrastructure, and real estate. It targets various stages of business development, from early-stage ventures to established companies seeking growth capital or preparing for public offerings. The geographical focus includes the United Kingdom, South Asia, Africa, and the Caribbean, with a particular emphasis on sectors such as technology, healthcare, financial services, energy, agriculture, infrastructure, education, manufacturing, consumer goods, telecommunications, transport, media, real estate, retail, and hospitality.    With a history of over 70 years, British International Investment has built a diverse portfolio of investments aimed at fostering economic development and job creation in its target regions. The institution operates with a long-term investment horizon, aligning its interests with those of the businesses it supports to drive sustainable growth and positive social impact. Its approach combines financial returns with measurable development outcomes, reflecting its commitment to both economic and social objectives.</t>
  </si>
  <si>
    <t>Private Equity, Venture Capital, Infrastructure, Real Estate, Fixed Income (Debt and Bonds), Debt Investor</t>
  </si>
  <si>
    <t>Financial Services, Technology, Healthcare, Energy, Consumer Goods, Real Estate, Infrastructure, Telecommunications, Media, Retail, Education, Agriculture, Hospitality, Manufacturing, Transport</t>
  </si>
  <si>
    <t>United Kingdom, India, Indonesia, Ghana, Kenya, Egypt, South Asia, Pakistan, Bangladesh, South Africa, Vietnam, Ethiopia, Philippines, Nigeria, Zambia, Africa, Uganda, Tanzania, Sri Lanka, Nepal, Zimbabwe, Caribbean</t>
  </si>
  <si>
    <t>Businesses must demonstrate a clear commitment to sustainable development and positive social impact., Investments should align with BII's focus on sectors that contribute to economic growth and job creation., Companies must have a viable business model with potential for scalability and long-term success., Investments are typically considered in regions where BII operates, including Africa and South Asia.</t>
  </si>
  <si>
    <t>STS Holdings Ltd, M-KOPA, Ola Electric, Jumia, Safaricom, OYO Rooms, Lendable, Tata Power, Airtel Africa, Jabong, Jumia Food, M-KOPA Solar, Ola Cabs, Jumia Travel, Safaricom Foundation, OYO Hotels, Lendable Inc., Tata Power Solar, Airtel Nigeria, Jabong.com</t>
  </si>
  <si>
    <t>Grand Challenges Canada</t>
  </si>
  <si>
    <t>MaRS Centre, South Tower, 101 College Street, Suite 406, Toronto</t>
  </si>
  <si>
    <t>Ontario</t>
  </si>
  <si>
    <t>CA</t>
  </si>
  <si>
    <t>https://www.grandchallenges.ca/</t>
  </si>
  <si>
    <t>https://www.linkedin.com/company/grand-challenges-canada/</t>
  </si>
  <si>
    <t>info@grandchallenges.ca</t>
  </si>
  <si>
    <t>416.673.6568</t>
  </si>
  <si>
    <t>Grand Challenges Canada is a Canadian charitable foundation dedicated to supporting innovative solutions that address health and development challenges in low- and middle-income countries, as well as in Canada. Funded primarily by the Government of Canada, the organization employs a Grand Challenges model to fund solutions for health and economic problems. Over the past 15 years, Grand Challenges Canada has invested in more than 1,500 unique innovations across over 100 countries, focusing on areas such as maternal and child health, mental health, gender equity, and access to clean water and sanitation. Their approach to funding is grounded in equity, evidence, and partnership.    The foundation's investment strategy emphasizes integrated innovation, combining scientific, technological, social, and business innovations to create sustainable solutions. They support innovators at various stages, including seed, early stage, and growth, with investment sizes ranging from $100,000 to $1,000,000. Grand Challenges Canada's geographical focus spans multiple countries, including Kenya, Uganda, Lebanon, Jordan, Colombia, Ecuador, Ghana, India, Indonesia, Morocco, Pakistan, Romania, Senegal, Sierra Leone, Tanzania, Vietnam, and Canada. Their portfolio encompasses a wide range of industries, including healthcare, education, water and sanitation, mental health, gender equity, technology, agriculture, energy, environment, infrastructure, financial services, manufacturing, transportation, retail, media, telecommunications, real estate, construction, professional services, consumer goods, automotive, and more.    Grand Challenges Canada's track record includes supporting over 1,500 unique innovations across more than 100 countries, reaching over 85 million people with life-saving and life-improving innovations. Their investments have delivered returns of over $7 billion, increasing the lifetime earnings of people they reach by over 25%, helping to keep families alive and staving off financial catastrophe. They have leveraged $2.42 for every $1 invested by their anchor funder, the Government of Canada. Their portfolio includes a diverse range of companies and organizations working on innovative solutions to global health and development challenges.    Grand Challenges Canada is governed by a Board of Directors, including members from various sectors such as health, finance, and international development. The Board oversees the organization's operations and impact, ensuring that activities align with the mission and strategic goals. The foundation also works closely with its Scientific Advisory Board and key experts in the area of global health to identify and select Grand Challenges. Their mission is to support innovators in low- and middle-income countries and Canada, fostering integrated innovation to address pressing health and development challenges.</t>
  </si>
  <si>
    <t>Financial Services, Technology, Healthcare, Energy, Consumer Goods, Real Estate, Infrastructure, Telecommunications, Media, Automotive, Retail, Education, Agriculture, Transportation, Construction, Manufacturing, Professional Services, Environment, Mental Health, Water and Sanitation, Gender Equity</t>
  </si>
  <si>
    <t>Canada, India, Indonesia, Ghana, Kenya, Morocco, Lebanon, Pakistan, Jordan, Vietnam, Colombia, Romania, Uganda, Tanzania, Senegal, Ecuador, Sierra Leone</t>
  </si>
  <si>
    <t>Montfort Group</t>
  </si>
  <si>
    <t>Rue du Mont-Blanc 14, 3rd &amp; 4th Floors, Geneva</t>
  </si>
  <si>
    <t>https://mont-fort.com/</t>
  </si>
  <si>
    <t>https://www.linkedin.com/company/mont-fort/</t>
  </si>
  <si>
    <t>info@mont-fort.com</t>
  </si>
  <si>
    <t>+41 22 741 59 00</t>
  </si>
  <si>
    <t>Montfort Group is a global commodity trading and asset investment company, operating across various sectors including trading, shipping, retail, upstream, and downstream. With offices in over 15 countries, Montfort connects and serves both emerging and mature markets worldwide. The company is committed to integrating its sustainability strategy with its pursuit of value, aiming to create a resilient energy ecosystem through innovative practices and investments in clean energy projects. Montfort operates under an integrated Sustainability Framework and adheres to strict corporate governance principles, ensuring compliance with all applicable laws and regulations across its global operations. The company emphasizes a thorough and rigorous external onboarding process for all trade counterparties and vessels employed, upholding international standards and prioritizing health, safety, environmental, and social considerations in all its activities. Montfort's commitment to equality is evident in its diverse workforce, with staff from almost 27 nationalities across six continents, and over 36% of its global team being female. The company actively engages in corporate social responsibility efforts, focusing on alleviating poverty, supporting education, and empowering women, thereby contributing positively to the communities where it operates.    Montfort's investment strategy includes identifying and seizing opportunities that maximize value, with a focus on sectors such as energy, infrastructure, and commodities. The company has a history of strategic acquisitions, including the completion of the acquisition of Uniper's UAE-based crude oil processing and marine fuel trading business in May 2023. This acquisition, valued at around $80 million, involved the operation of a 65,000 barrels/day crude processing facility in the Port of Fujairah, selling over 30 million barrels of low-sulfur fuel oil to the shipping industry annually. The facility was renamed Fort Energy Refining Middle East DMCC, a wholly owned subsidiary of Montfort. This investment demonstrates Montfort's long-term commitment to the marine fuel sector and its strategic focus on expanding its presence in key global markets.    Montfort's approach to investment is characterized by a commitment to integrity, efficiency, and long-term value creation. The company's diverse portfolio spans various asset classes, including commodities, energy, and infrastructure, reflecting its strategic focus on sectors with significant growth potential. Montfort's integrated services, encompassing trading, shipping, retail, upstream, and downstream operations, enable it to leverage synergies across its business divisions, enhancing operational efficiency and delivering exceptional value to stakeholders. The company's emphasis on sustainability and corporate governance underscores its dedication to responsible business practices and its role in driving transformative social and environmental progress. Montfort's global presence and diverse portfolio position it as a significant player in the commodity trading and asset investment landscape, with a strategic focus on sectors and regions that offer substantial growth opportunities and align with its long-term objectives.</t>
  </si>
  <si>
    <t>Commodities, Energy, Infrastructure</t>
  </si>
  <si>
    <t>Technology, Healthcare, Energy, Infrastructure, Retail, Agriculture, Shipping, Commodities, Metals, Upstream, Downstream, Gas &amp; Power, Minerals, Dry Bulk, Grains &amp; Oilseeds</t>
  </si>
  <si>
    <t>United States, United Kingdom, Germany, Japan, Australia, Singapore, China, India, United Arab Emirates, Switzerland, Indonesia, Kenya, Luxembourg, South Korea, Turkey, Pakistan, South Africa, Malaysia, Tanzania, Mozambique</t>
  </si>
  <si>
    <t>Compliance with international standards, Alignment with sustainability and corporate governance principles, Focus on sectors with significant growth potential, Commitment to responsible business practices, Long-term value creation</t>
  </si>
  <si>
    <t>Rocket Internet SE</t>
  </si>
  <si>
    <t>Charlottenstraße 4, Berlin</t>
  </si>
  <si>
    <t>Berlin</t>
  </si>
  <si>
    <t>DE</t>
  </si>
  <si>
    <t>https://www.rocket-internet.com/</t>
  </si>
  <si>
    <t>https://www.linkedin.com/company/rocket-internet-se</t>
  </si>
  <si>
    <t>info@rocket-internet.com</t>
  </si>
  <si>
    <t>+49 30 300 13 18 00</t>
  </si>
  <si>
    <t>Rocket Internet SE is a German venture capital firm headquartered in Berlin, specializing in incubating and investing in internet and technology companies worldwide. The firm provides deep operational support to entrepreneurs, assisting them in building market-leading companies across various sectors, including e-commerce, online retail, and financial technology. With a global presence, Rocket Internet's portfolio spans over 200 companies across six continents, employing more than 42,000 people as of 2018.    The company's investment strategy focuses on identifying and replicating successful internet business models in new, underserved, or untapped markets. By leveraging its extensive network and resources, Rocket Internet aims to scale these businesses into market leaders. The firm's diverse portfolio includes companies in sectors such as fashion, food delivery, home and living, travel, and online marketplaces.    Rocket Internet's approach combines capital investment with comprehensive operational support, enabling its portfolio companies to achieve rapid growth and international expansion. This model has led to the successful scaling of numerous startups, contributing to the firm's reputation as a prominent player in the global venture capital landscape.</t>
  </si>
  <si>
    <t>Technology, Software, E-commerce, Financial Technology, Fashion, Travel, Online Retail, Food Delivery, Online Marketplaces, General Merchandise, Home and Living, Mobile Data Services, Package Holidays, Regional Internet Groups, New Businesses and Investments</t>
  </si>
  <si>
    <t>United States, United Kingdom, Germany, Brazil, Mexico, Indonesia, Kenya, Luxembourg, Egypt, Pakistan, Bangladesh, South Africa, Vietnam, Philippines, Thailand, Nigeria, Chile, Argentina, Colombia, Peru</t>
  </si>
  <si>
    <t>Proven internet business models, Scalable operations, Strong management teams, Potential for international expansion</t>
  </si>
  <si>
    <t>HelloFresh, Global Fashion Group, Dafiti, Home24, Delivery Hero, Lamoda, Zalora, Campsy, Caterwings, DiscoEat, EatFirst, Everdine, GlobalSavingsGroup, Helpling, InstaFreight, Lendico, Nestpick, Spotcap, Vaniday, Visito</t>
  </si>
  <si>
    <t>Qualgro Partners Pte Ltd</t>
  </si>
  <si>
    <t>Qualgro Partners Pte Ltd is a venture capital firm based in Singapore, focusing on investments in technology startups specializing in data, artificial intelligence, and software. The firm primarily invests in Southeast Asia and Australia, targeting Series A and Series B funding stages. Qualgro seeks entrepreneurs with the capability to build regional or global companies, emphasizing technology advantages, rapid execution, and agility in uncertain markets.    The firm's investment strategy centers on sectors such as FinTech, EdTech, HealthTech, Marketing, HR Tech, SaaS, E-commerce, Media, AdTech, and PropTech. Qualgro has a track record of supporting companies that have become regional and global leaders across various verticals. Notable portfolio companies include ShopBack, Funding Societies, PatSnap, and Supermom.    Qualgro was founded in 2015 by Heang Chhor, a former Senior Partner at McKinsey &amp; Company with extensive experience in Europe and Asia. The firm has achieved strong financial returns and has been recognized for its impact on economic development, including being awarded 'VC Exit of the Year' by the Singapore Venture Capital &amp; Private Equity Association in 2019. The team comprises professionals with diverse international expertise in startups, business, technology, investment, and strategy, providing differentiated value to startups through proprietary databases, tools, and methodologies developed over the past eight years.</t>
  </si>
  <si>
    <t>Series A, Series B</t>
  </si>
  <si>
    <t>Technology, Media, Software, HealthTech, EdTech, FinTech, E-commerce, SaaS, Artificial Intelligence, B2B, Proptech, Data, Adtech, HR Tech, Marketing</t>
  </si>
  <si>
    <t>Entrepreneurs with regional or global growth ambition, Technology advantages, Fast execution, Agility in uncertain markets</t>
  </si>
  <si>
    <t>Shopback, Funding Societies, PatSnap, Supermom, Wavecell, Hevo, EngageRocket</t>
  </si>
  <si>
    <t>Orchid Asia Group</t>
  </si>
  <si>
    <t>c/o Room 5612, 56/F, The Center 99 Queen's Road Central, Hong Kong</t>
  </si>
  <si>
    <t>https://www.orchidasia.com</t>
  </si>
  <si>
    <t>info@orchidasia.com</t>
  </si>
  <si>
    <t>+60386850725</t>
  </si>
  <si>
    <t>Orchid Asia Group is a Hong Kong-based venture capital firm established in 1993, specializing in early-stage investments across Asia. The firm has offices in Shanghai, Beijing, and Guangzhou, targeting high-growth sectors such as consumer services, outsourced manufacturing, and services. Orchid Asia Group manages funds with capital commitments from leading institutional investors, independent private banks, university endowments, insurance companies, strategic individual capitalists, and high-net-worth family offices.    The firm's investment strategy emphasizes backing experienced executives in building franchises in Asia, particularly in China. Orchid Asia Group seeks to invest in expanding domestic enterprises in high-barrier-to-entry businesses with strong growth prospects. The firm has a track record of leading significant funding rounds, including a Series C funding round for Hunliji, a wedding services platform, in March 2018.    Orchid Asia Group's portfolio includes a diverse range of companies across various industries, reflecting its commitment to fostering innovation and growth in the region. The firm's approach combines financial support with strategic guidance to help portfolio companies achieve sustainable success in their respective markets.</t>
  </si>
  <si>
    <t>Early Stage, Series A, Series B, Growth, Late Stage</t>
  </si>
  <si>
    <t>Financial Services, Technology, Healthcare, Energy, Real Estate, Telecommunications, Media, Retail, Education, Agriculture, Logistics, Transportation, Consumer Services, Services, Outsourced Manufacturing</t>
  </si>
  <si>
    <t>Hong Kong, Japan, Singapore, China, India, Indonesia, South Korea, Pakistan, Bangladesh, Vietnam, Malaysia, Afghanistan, Philippines, Thailand, Taiwan, Maldives, Sri Lanka, Nepal, Bhutan, Myanmar</t>
  </si>
  <si>
    <t>Experienced management teams, High-growth potential, Strong market position, Scalable business models, Competitive advantages</t>
  </si>
  <si>
    <t>Hunliji</t>
  </si>
  <si>
    <t>CresVentures</t>
  </si>
  <si>
    <t>Lahore, Punjab, Pakistan</t>
  </si>
  <si>
    <t>http://www.cresventures.com/</t>
  </si>
  <si>
    <t xml:space="preserve">CresVentures is an angel capital firm based in Lahore, Pakistan, established by Humayun Mazhar, a visionary in the IT export space since the mid-1990s. The firm is part of the Crescent Group, a conglomerate with over six decades of experience in various sectors, including textiles, sugar, insurance, and financial services. CresVentures focuses on seed and early-stage investments in technology startups addressing local market needs through innovative solutions.  The firm's investment strategy emphasizes sectors such as travel and logistics, home and office, financial technology, and artificial intelligence. CresVentures has partnered with The Indus Entrepreneurs (TiE) in Lahore and Islamabad to support the entrepreneurial ecosystem. Notable investments include PerkUp, Sukoon, and Travly, reflecting the firm's commitment to fostering high-growth potential ventures in Pakistan.  CresVentures aims to reshape the landscape for Pakistani tech startups by providing funding and mentorship to innovative ideas that advocate social change. The firm's approach combines financial support with strategic guidance to help startups scale and succeed in the competitive market.  </t>
  </si>
  <si>
    <t>Financial Services, Technology, Healthcare, Energy, Consumer Goods, Media, Retail, Education, Agriculture, E-commerce, Logistics, Artificial Intelligence, Housing, Telecom, Water</t>
  </si>
  <si>
    <t>Innovative technology solutions addressing local market needs, High growth potential, Social impact focus</t>
  </si>
  <si>
    <t>PerkUp, Sukoon, Travly</t>
  </si>
  <si>
    <t>PlanX</t>
  </si>
  <si>
    <t>Arfa Software Technology Park, 346-B Ferozepur Road, Lahore</t>
  </si>
  <si>
    <t>https://pitb.gov.pk/planx</t>
  </si>
  <si>
    <t>info@planx.pk</t>
  </si>
  <si>
    <t>+92-42-35880062</t>
  </si>
  <si>
    <t>PlanX is a technology accelerator based in Lahore, Pakistan, established by the Punjab Information Technology Board (PITB) to support mid-stage tech startups. The program offers a six-month acceleration cycle during which selected startups receive access to multiple funding channels, a specialized network of mentors, and global exposure to foster growth and innovation. Notably, PlanX operates on a 0% equity model, meaning it does not take any stake in the companies it supports during the acceleration cycle. To be eligible, a tech startup should be mid-stage, registered with the Securities and Exchange Commission of Pakistan (SECP), have a sizable customer base, a well-rounded team, and a product in its beta version. Intake is on a rolling basis via an online application. The program has successfully graduated numerous startups, many of which have secured significant funding and achieved substantial valuations.     PlanX's mission is to empower commercially viable mid-stage technology startups by providing them with the necessary resources to establish high-impact businesses. The accelerator focuses on startups that have demonstrated initial market traction and are poised for scaling. By offering a comprehensive support system, PlanX aims to bridge the gap between early-stage development and full-scale commercialization, ensuring that startups are well-equipped to navigate the challenges of growth and expansion. The program's emphasis on mentorship and global exposure helps startups refine their business models, enhance operational efficiency, and expand their market reach.    Through its strategic initiatives and partnerships, PlanX continues to play a pivotal role in nurturing the entrepreneurial ecosystem in Pakistan, contributing to the country's economic development and technological advancement. The accelerator's commitment to fostering innovation and supporting startups aligns with PITB's broader vision of promoting sustainable growth in the technology sector. By focusing on mid-stage startups, PlanX addresses a critical need in the market, ensuring that promising ventures receive the guidance and resources necessary to succeed in a competitive global landscape.</t>
  </si>
  <si>
    <t>Technology, Energy, Consumer Goods, Real Estate, Telecommunications, HealthTech, EdTech, FinTech, E-commerce, Logistics, Transportation, Artificial Intelligence, Agtech, Media and Entertainment, Software as a Service (SaaS)</t>
  </si>
  <si>
    <t>Mid-stage technology startup, Registered with SECP, Sizable customer base, Well-rounded team, Product in beta version</t>
  </si>
  <si>
    <t>Bookme, Baby Planet, Travly, xGear, Appography</t>
  </si>
  <si>
    <t>VentureDive</t>
  </si>
  <si>
    <t>327 Serra San Bruno, Mountain View, California 94043, United States</t>
  </si>
  <si>
    <t>https://www.venturedive.com</t>
  </si>
  <si>
    <t>info@venturedive.com</t>
  </si>
  <si>
    <t>+1 650-208-5107</t>
  </si>
  <si>
    <t>VentureDive is a technology solutions company that creates and invests in high-end technology products and solutions to improve lives worldwide. Founded in 2012, the company has developed a diverse portfolio of products and services, including SaaS solutions, and has a significant presence in the MENA region.    The company's investment strategy focuses on sectors such as digital health, transportation, and on-demand services, with a particular emphasis on scalable and impactful products. VentureDive has a history of investing in and developing products that cater to the needs of the MENA region, leveraging its expertise in SaaS solutions to drive growth and innovation.    VentureDive's track record includes the successful development and scaling of products that have made a significant impact in their respective industries. The company's philosophy centers on building products that not only meet market demands but also contribute positively to the communities they serve, reflecting a commitment to both business success and social responsibility.</t>
  </si>
  <si>
    <t>Financial Services, Technology, Healthcare, Energy, Real Estate, Telecommunications, Media, Retail, Education, Consumer Products, E-commerce, Logistics, Transportation, Manufacturing, Entertainment</t>
  </si>
  <si>
    <t>United States, United Kingdom, United Arab Emirates, Pakistan, Portugal</t>
  </si>
  <si>
    <t>Innovative technology solutions, Scalable business models, Impactful products in target sectors</t>
  </si>
  <si>
    <t>Careem, Motive, Unilever, Roland Berger, Google, McKinsey, ByStored, DistributionNow</t>
  </si>
  <si>
    <t>Rebright Partners</t>
  </si>
  <si>
    <t>2F Nittochi Building 1-4-1 Kasumigaseki, Chiyoda-ku, Tokyo 100-0013</t>
  </si>
  <si>
    <t>https://rebrightpartners.com</t>
  </si>
  <si>
    <t>https://www.linkedin.com/company/rebright-partners</t>
  </si>
  <si>
    <t>info@rebrightpartners.com</t>
  </si>
  <si>
    <t>Rebright Partners is an Asia-focused early-stage venture capital firm investing in tech startups across Southeast Asia and India. Backed by prominent Japanese corporate and institutional investors, the firm leverages its network between Southeast Asia, India, and Japan to help startups expand into these regions and build partnerships with major tech companies. The firm has offices in Tokyo, Singapore, and Bengaluru, India.    The firm's investment strategy targets early-stage tech startups, including internet and mobile companies, across various sectors such as technology, healthcare, education, agriculture, and financial services. Rebright Partners has made 62 investments, with notable exits including Coins.ph, Tookitaki, and Bukalapak. The firm's portfolio includes companies like Essenvia, a South Asian-founded startup in the seed stage.    Rebright Partners' team comprises experienced professionals, including Founding General Partner Takeshi Ebihara, who has over 30 years in venture capital and entrepreneurship, and Principal Mahesh Kumar, who leads the firm's investment strategy in India. The firm is committed to supporting startups in their growth and expansion across Asia, leveraging its extensive network and expertise in the region.</t>
  </si>
  <si>
    <t>Financial Services, Technology, Healthcare, Energy, Consumer Goods, Real Estate, Telecommunications, Media, Automotive, Education, Agriculture, E-commerce, Logistics, Transportation, Manufacturing</t>
  </si>
  <si>
    <t>Japan, Singapore, India, Indonesia, Pakistan, Bangladesh, Vietnam, Malaysia, Afghanistan, Philippines, Thailand, Maldives, Sri Lanka, Nepal, Bhutan, Myanmar, Cambodia, Laos, Brunei, Timor-Leste</t>
  </si>
  <si>
    <t>Innovative technology solutions, Scalable business models, Strong founding teams, Potential for regional expansion, Alignment with Rebright Partners' investment thesis</t>
  </si>
  <si>
    <t>Essenvia, Coins.ph, Tookitaki, Bukalapak, Instalimb, ClickPost, Numocity, bukalapak.com, Medikabazaar, LetsTransport, MediBuddy, Inshorts, Numocity Technologies, Jiffy, Eggoz, Claim Buddy, GoComet, AquaConnect, Ivy Homes, Virohan, Codingal, BulkMRO, QBlocks, Stimuler, Crib</t>
  </si>
  <si>
    <t>Abercross Holdings</t>
  </si>
  <si>
    <t>1a First Street, London</t>
  </si>
  <si>
    <t>https://www.abercross.com</t>
  </si>
  <si>
    <t>https://www.linkedin.com/company/abercross-holdings-ltd</t>
  </si>
  <si>
    <t>info@abercross.com</t>
  </si>
  <si>
    <t>Abercross Holdings is an independent FCA regulated investment and advisory firm established in 2016, focusing on private market investments across the UK, US, and MENA regions. The firm provides family offices and institutions with exposure to financial returns while ensuring downside protection through strategic deal structuring.    Abercross Holdings specializes in private equity and venture capital investments, targeting early-stage, growth, late-stage, pre-IPO, and buyout opportunities. The firm's geographical focus includes the United Kingdom, United States, Saudi Arabia, Pakistan, United Arab Emirates, Kuwait, Qatar, Bahrain, Oman, Jordan, Lebanon, Egypt, Iraq, Syria, Yemen, Afghanistan, Iran, Turkey, Israel, and Palestine.    The firm's portfolio spans various industries, including technology, supply chain solutions, e-commerce, retail, B2B, marketplace, information technology, human resources, logistics, manufacturing, healthcare, education, financial services, media, and telecommunications. Abercross Holdings has made investments in companies such as Retailo Technologies, a Saudi-based e-commerce platform, and Complete Business Solutions, a UK-based provider of business services.    Abercross Holdings is managed by Issam Hamid, the Managing Partner, and Sanjana Sarin, a Director. The firm's registered office is located at 1a First Street, London, England, SW3 2LB.</t>
  </si>
  <si>
    <t>Early Stage, Growth, Late Stage, Pre-IPO, Buyout</t>
  </si>
  <si>
    <t>Financial Services, Technology, Healthcare, Telecommunications, Media, Retail, Education, E-commerce, Logistics, Manufacturing, B2B, Information Technology, Marketplace, Supply Chain Solutions, Human Resources</t>
  </si>
  <si>
    <t>United States, United Kingdom, United Arab Emirates, Saudi Arabia, Qatar, Kuwait, Oman, Egypt, Lebanon, Bahrain, Turkey, Pakistan, Jordan, Iraq, Afghanistan, Palestine, Yemen, Israel, Syria, Iran</t>
  </si>
  <si>
    <t>Profitable businesses seeking growth equity or buyout capital, Companies operating in the UK, US, or MENA regions, Businesses in sectors such as technology, supply chain solutions, e-commerce, retail, B2B, marketplace, information technology, human resources, logistics, manufacturing, healthcare, education, financial services, media, and telecommunications</t>
  </si>
  <si>
    <t>Retailo Technologies, Complete Business Solutions</t>
  </si>
  <si>
    <t>Al-Rashed Group Holding Company</t>
  </si>
  <si>
    <t>Building 225/227, Ardiya Industrial Area, Block 2, P.O. Box No. 242 Safat 13003, Kuwait</t>
  </si>
  <si>
    <t>Farwaniya</t>
  </si>
  <si>
    <t>https://www.al-rashedholdings.com</t>
  </si>
  <si>
    <t>https://www.linkedin.com/company/al-rashed</t>
  </si>
  <si>
    <t>info@al-rashed.com</t>
  </si>
  <si>
    <t>+965 1825522</t>
  </si>
  <si>
    <t>Al-Rashed Group Holding Company is a prominent family-owned conglomerate based in Kuwait, established in 2000 to unify its subsidiary companies and joint ventures under one entity. The group has a rich history dating back to 1911 when Abdulaziz Abdulmohsin Al-Rashed laid the foundation for what would become one of Kuwait's most successful and trusted family businesses. Over the decades, the Al-Rashed family has been instrumental in Kuwait's transformation, building long-term partnerships with global businesses and contributing significantly to the country's development.    The group's diversified portfolio spans various sectors, including major oil, gas, utilities, power and infrastructure projects, building materials, oil sector services, equipment supply, and logistics. Through its operating divisions, Al-Rashed Holdings has built an outstanding reputation in these key markets, working with international companies in Kuwait and the wider Gulf region. The company emphasizes delivering the highest customer service through quality and reputation, preferring to associate with international companies that embody this philosophy.    Al-Rashed Group Holding Company operates under a formalized corporate governance structure managed by an elected Board of Directors. This structure ensures that all fiscal, commercial, and financial activities are carefully regulated to uphold the high standards set for the group's operations. As a result, the group enjoys an outstanding reputation with both international partner companies and the business community in Kuwait. Looking ahead, Al-Rashed Group Holding Co. continues to seek opportunities to strengthen and enhance relationships with its international partners and explore new opportunities to complement its strength in key strategic markets.</t>
  </si>
  <si>
    <t>Private Equity, Real Estate, Infrastructure, Oil and Gas, Utilities, Building Materials, Logistics, Equipment Supply, Oil Sector Services</t>
  </si>
  <si>
    <t>Financial Services, Technology, Healthcare, Consumer Goods, Telecommunications, Utilities, Media, Retail, Education, Logistics, Transportation, Hospitality, Construction, Oil and Gas, Building Materials, Home Appliances, Power and Infrastructure Projects, Oil Sector Services, Equipment Supply, Laundry</t>
  </si>
  <si>
    <t>United Arab Emirates, Saudi Arabia, Qatar, Kuwait, Oman, Egypt, Tunisia, Libya, Morocco, Algeria, Lebanon, Bahrain, Pakistan, Jordan, Somalia, Iraq, Sudan, Mauritania, Yemen, Syria</t>
  </si>
  <si>
    <t>Strong financial performance, Established market presence, Alignment with Al-Rashed's core values, Potential for long-term partnership, Commitment to quality and reputation</t>
  </si>
  <si>
    <t>Al-Rashed International Shipping Company, Al-Rashed Complex, Al-Rashed Group for Projects Holding Company, Al-Rashed Group Holding Co. KSCC</t>
  </si>
  <si>
    <t>Zaina Investments LLC</t>
  </si>
  <si>
    <t>Al Warsan Tower, 10, Al Rabee'a 2 street, Dubai</t>
  </si>
  <si>
    <t>https://www.zainainvestmentsllc.com/</t>
  </si>
  <si>
    <t>info@zainainvestmentsllc.com</t>
  </si>
  <si>
    <t>+971 4 123 4567</t>
  </si>
  <si>
    <t xml:space="preserve">Zaina Investments LLC is a private family office based in Dubai, United Arab Emirates, founded and chaired by Ahmad Abdullah Juma Bin Byat. The office focuses on strategic investments across various sectors, leveraging Ahmad Bin Byat's extensive experience in the UAE's business environment. He has held directorial positions in several prominent Dubai organizations and is currently the Vice Chairman of Dubai Chamber of Digital Economy.    The investment strategy of Zaina Investments LLC encompasses a diverse portfolio, including private equity, real estate, and venture capital. The firm targets investments in early-stage, growth, and late-stage companies, with a geographical focus on the United Arab Emirates and other select countries. The industries of interest span technology, healthcare, real estate, financial services, consumer goods, energy, telecommunications, media, education, hospitality, retail, transportation, logistics, manufacturing, and agriculture.    Zaina Investments LLC's approach is characterized by a commitment to fostering innovation and supporting businesses that align with the UAE's long-term economic ambitions. The firm seeks to create value through active involvement and strategic guidance, aiming to contribute to the growth and diversification of the regional economy.    </t>
  </si>
  <si>
    <t>Early Stage, Growth, Late Stage</t>
  </si>
  <si>
    <t>United States, United Kingdom, Germany, China, India, United Arab Emirates, Indonesia, Saudi Arabia, Qatar, Kuwait, Oman, Egypt, Lebanon, Bahrain, Turkey, Pakistan, Jordan, Vietnam, Malaysia, Philippines, Thailand</t>
  </si>
  <si>
    <t>Strong management team, Scalable business model, Alignment with UAE's economic goals, Potential for significant growth, Innovative products or services</t>
  </si>
  <si>
    <t>Alinma Investment</t>
  </si>
  <si>
    <t>Al Anoud Tower 2, King Fahad Road, P.O. Box 55560, Riyadh 11544</t>
  </si>
  <si>
    <t>https://www.alinmainvestment.com</t>
  </si>
  <si>
    <t>https://www.linkedin.com/company/alinmacapital</t>
  </si>
  <si>
    <t>info@alinmainvestment.com</t>
  </si>
  <si>
    <t>+966 11 218 5999</t>
  </si>
  <si>
    <t>Alinma Investment is a prominent Saudi Arabian private investment firm specializing in asset management and investment banking services. As the investment arm of Alinma Bank, it offers a comprehensive range of wealth management services, including real estate preservation, securities custody, fund services, capital markets, mergers and acquisitions, arranging banking facilities, investment portfolios, endowment investment funds, and investment advisory management. The firm recorded assets under management of $20.4 billion in 2021.    The company's investment strategy focuses on a diverse array of asset classes, including private equity, real estate, fixed income, commodities, hedge funds, and venture capital. It targets various stages of investment, such as growth, late stage, buyout, turnaround, and distressed opportunities. Geographically, Alinma Investment primarily concentrates on the Saudi Arabian market, aligning with its strategic vision to contribute to the Kingdom's economic development.    Alinma Investment has a track record of significant investments, including the development of the Ajdal Jeddah Real Estate Project in partnership with Rawasi Real Estate Company, involving investments amounting to $121.3 million. The firm also manages the Alinma Orphan Care Endowment Fund, reflecting its commitment to social responsibility and sustainable growth. Its diversified portfolio spans multiple industries, including financial services, real estate, healthcare, technology, consumer goods, energy, telecommunications, utilities, materials, and industrials, demonstrating its broad investment approach and expertise in various sectors.</t>
  </si>
  <si>
    <t>Real Estate, Private Equity, Fixed Income (Debt and Bonds), Commodities, Hedge Funds, Venture Capital, Crypto</t>
  </si>
  <si>
    <t>Financial Services, Technology, Healthcare, Energy, Consumer Goods, Industrials, Real Estate, Materials, Telecommunications, Utilities, Media, Retail, Software, Education, Agriculture, Transportation, Hospitality, Construction, Manufacturing, Consumer Services, Basic Materials, Consumer Non-Durables, Technology Hardware</t>
  </si>
  <si>
    <t>United States, United Kingdom, Germany, Japan, Singapore, China, India, France, United Arab Emirates, Indonesia, Saudi Arabia, Qatar, Kuwait, Oman, Egypt, Lebanon, Bahrain, Turkey, Pakistan, Jordan, Malaysia</t>
  </si>
  <si>
    <t>Sharia-compliant investments, Open to both Saudi citizens and residents, Valid National ID or Residence Visa., Open a Current Account with Alinma Bank.</t>
  </si>
  <si>
    <t>Ajdal Jeddah Real Estate Project, Alinma Orphan Care Endowment Fund, Alinma Retail REIT Fund, Alinma Saudi Government Sukuk ETF Fund, Alinma IPO Fund</t>
  </si>
  <si>
    <t>Albilad Capital</t>
  </si>
  <si>
    <t>King Fahad Road, P.O. Box 140, Riyadh 11411</t>
  </si>
  <si>
    <t>https://www.albilad-capital.com</t>
  </si>
  <si>
    <t>https://www.linkedin.com/company/albilad-capital</t>
  </si>
  <si>
    <t>clientservices@albilad-capital.com</t>
  </si>
  <si>
    <t>+966-920003636</t>
  </si>
  <si>
    <t>Albilad Capital, established in 2008, is the investment arm of Bank Albilad, a prominent Saudi bank. The firm is licensed by the Saudi Capital Market Authority (License No. 08100-37) to provide a comprehensive suite of services, including dealing activities, arrangement, advisory, custody, investment management, and funds operations. Albilad Capital aims to meet the diverse needs of individual and institutional investors by offering innovative and Sharia-compliant investment products and services. These encompass Investment Banking Advisory, Corporate Finance, Custody and Brokerage Services, as well as Asset Management Services through Investment Funds and Discretionary Portfolio Management (DPM).    The firm's investment strategy is multifaceted, focusing on various asset classes such as Real Estate, Private Equity, Fixed Income, Commodities, Hedge Funds, Venture Capital, Infrastructure, Collectibles &amp; Art, Crypto, Distressed and Special Situations, and ESG and Impact Investing. Albilad Capital engages in investments across multiple stages, including Pre-Seed, Seed, Early Stage, Series A, Series B, Growth, Late Stage, Pre-IPO, Buyout, Turnaround, and Distressed. Geographically, the firm has a broad focus, investing in regions such as Saudi Arabia, the United Arab Emirates, Kuwait, Qatar, Bahrain, Oman, Egypt, Jordan, Lebanon, Iraq, Turkey, Pakistan, India, China, the United States, the United Kingdom, Germany, France, Japan, and South Korea.    Albilad Capital's portfolio spans a wide array of industries, including Technology, Healthcare, Real Estate, Financial Services, Energy, Consumer Goods, Telecommunications, Media, Transportation, Education, Agriculture, Pharmaceuticals, Retail, Automotive, and Hospitality. The firm is known for its disciplined investment approach, emphasizing thorough due diligence and a commitment to delivering value to its stakeholders. Albilad Capital's mission is to provide and develop advanced financial solutions that create value for stakeholders, aligning with the group's objectives. The firm's vision is to be a premier choice in the capital market by providing innovative financial solutions and investment products.</t>
  </si>
  <si>
    <t>Real Estate, Private Equity, Fixed Income (Debt and Bonds), Commodities, Hedge Funds, Venture Capital, Infrastructure, Collectibles &amp; Art, Crypto, Distressed and Special Situations, ESG and Impact Investing</t>
  </si>
  <si>
    <t>Financial Services, Technology, Healthcare, Energy, Consumer Goods, Real Estate, Telecommunications, Media, Automotive, Retail, Education, Agriculture, Transportation, Hospitality, Pharmaceuticals</t>
  </si>
  <si>
    <t>United States, United Kingdom, Germany, Japan, China, India, France, United Arab Emirates, South Korea, Saudi Arabia, Qatar, Kuwait, Oman, Egypt, Lebanon, Bahrain, Turkey, Pakistan, Jordan, Iraq</t>
  </si>
  <si>
    <t>Wadia Group</t>
  </si>
  <si>
    <t>C1- Wadia International Centre, Pandurang Budhkar Marg, Mumbai 400 025</t>
  </si>
  <si>
    <t>Maharashtra</t>
  </si>
  <si>
    <t>http://www.wadiagroup.com</t>
  </si>
  <si>
    <t>info@wadiagroup.com</t>
  </si>
  <si>
    <t xml:space="preserve">Established in 1736, the Wadia Group is one of India's oldest and most diversified conglomerates, with interests spanning textiles, chemicals, food processing, plantations, media, and real estate. The group is headquartered in Mumbai, Maharashtra, and has a significant presence in various sectors, including aviation, retail, healthcare, auto components, and engineering. Its notable subsidiaries include Britannia Industries, Bombay Dyeing, and The Bombay Burmah Trading Corporation Limited.  The Wadia Group's investment strategy focuses on long-term value creation, emphasizing majority ownership in companies that cater to the daily needs and well-being of consumers. The group's portfolio encompasses a broad spectrum of industries, reflecting its commitment to diversification and sustainable growth. It actively seeks opportunities in sectors such as aviation, real estate, retail, healthcare, auto components, plantations, engineering, and chemicals.  With a legacy spanning over two and a half centuries, the Wadia Group has demonstrated resilience and adaptability in the ever-evolving business landscape. Its strategic investments and diversified portfolio have contributed to its sustained growth and prominence in the Indian business community. The group's emphasis on quality, innovation, and customer satisfaction continues to drive its success across various industries.  </t>
  </si>
  <si>
    <t>Seed, Early Stage, Growth, Late Stage, Pre-IPO, Buyout</t>
  </si>
  <si>
    <t>Healthcare, Real Estate, Media, Retail, Chemicals, Aviation, Engineering, Food Processing, Textiles, Plantations, Auto Components</t>
  </si>
  <si>
    <t>United States, United Kingdom, Canada, Germany, Japan, Australia, Singapore, China, India, France, Indonesia, South Korea, Pakistan, Bangladesh, Vietnam, Malaysia, Philippines, Thailand, Sri Lanka, Nepal</t>
  </si>
  <si>
    <t>Majority ownership, Long-term value creation, Diversified portfolio</t>
  </si>
  <si>
    <t>Britannia Industries, Bombay Dyeing, The Bombay Burmah Trading Corporation Limited, National Peroxide Limited, Wadia Techno-Engineering Services Limited, GoAir, Bombay Realty</t>
  </si>
  <si>
    <t>Vertex Growth</t>
  </si>
  <si>
    <t>250 North Bridge Road, #09-01 Raffles City Tower, Singapore 179101</t>
  </si>
  <si>
    <t>https://www.vertexgrowth.com/</t>
  </si>
  <si>
    <t>hello@vertexgrowth.com</t>
  </si>
  <si>
    <t>+65 6828 8088</t>
  </si>
  <si>
    <t>Vertex Growth is a growth-stage venture capital firm dedicated to partnering with exceptional entrepreneurs and promising companies on the cusp of growth. The firm provides expansion capital to help companies realize their vision of becoming category champions that are enduring and transformational. As part of Vertex's global network of venture capital funds, Vertex Growth accesses opportunities from leading innovation hubs worldwide and drives significant value by working closely with the Vertex ecosystem of portfolio companies and partners.    The firm's investment strategy focuses on high-growth start-ups in Southeast Asia and India, with a particular emphasis on technology and healthcare sectors. Vertex Growth has a strong track record of supporting technology-driven companies, reinforcing its commitment to advancing innovation on a global scale. The firm has invested in over 30 companies, including eight unicorns, and manages assets totaling $760 million.    Vertex Growth's portfolio includes companies across various industries, such as consumer, healthcare, software, deeptech, and fintech. Notable investments include PatSnap, a software company that surpassed $100 million in annual recurring revenue; Cymulate, a cybersecurity firm that raised $15 million to expand its cloud-based security platform; and Nium, a fintech company that secured $50 million in a Series E round to expand its global real-time payments infrastructure. The firm's diverse portfolio reflects its commitment to fostering innovation and supporting companies with transformative potential.</t>
  </si>
  <si>
    <t>Growth</t>
  </si>
  <si>
    <t>Technology, Healthcare, Automotive, Software, Industrial, Consumer, FinTech, E-commerce, Artificial Intelligence, Cybersecurity, Robotics, IoT, DeepTech, Consumer Electronics, Security, Biopharmaceutical, High-Performance Computing, Power Management, Audio Solutions, Power Metering, Design Safety</t>
  </si>
  <si>
    <t>United States, Japan, Singapore, China, India, Indonesia, South Korea, Pakistan, Bangladesh, Vietnam, Malaysia, Philippines, Israel, Thailand, Sri Lanka, Nepal, Myanmar, Cambodia, Laos, Brunei</t>
  </si>
  <si>
    <t>High-growth start-ups, Technology and healthcare sectors, Southeast Asia and India focus</t>
  </si>
  <si>
    <t>PatSnap, Cymulate, Nium, Geek+, Licious, Verbit, Dolphin Semiconductor</t>
  </si>
  <si>
    <t>Tata Sons</t>
  </si>
  <si>
    <t>Bombay House, 24 Homi Mody Street, Fort, Mumbai</t>
  </si>
  <si>
    <t>https://www.tata.com/investors</t>
  </si>
  <si>
    <t>info@tata.com</t>
  </si>
  <si>
    <t>+91 (22) 6665 8282</t>
  </si>
  <si>
    <t xml:space="preserve">Tata Sons is the principal investment holding company and promoter of Tata companies. It holds significant stakes in numerous publicly listed and unlisted companies across various sectors, including technology, automotive, steel, chemicals, consumer goods, energy, telecommunications, hospitality, aerospace, defense, retail, e-commerce, real estate, pharmaceuticals, and media and entertainment. The group's diverse portfolio reflects its strategic approach to long-term value creation and market leadership.  The group's investment strategy focuses on sectors with high growth potential and global relevance. It actively seeks opportunities in emerging industries such as technology and renewable energy, while maintaining a strong presence in traditional sectors like steel and automotive. Tata Sons' investments are characterized by a commitment to innovation, sustainability, and social responsibility, aligning with its mission to improve the quality of life of the communities it serves.  Tata Sons' track record includes significant investments in companies like Tata Consultancy Services (TCS), Tata Steel, Tata Motors, and Tata Power. These investments have contributed to the group's substantial market capitalization and global footprint. The group's philosophy emphasizes ethical business practices, stakeholder value creation, and a long-term perspective, ensuring sustainable growth and positive societal impact.  </t>
  </si>
  <si>
    <t>Private Equity, Venture Capital, Fixed Income (Debt and Bonds), Real Estate, Infrastructure, Commodities, Hedge Funds, Crypto, Distressed and Special Situations, ESG and Impact Investing</t>
  </si>
  <si>
    <t>Technology, Energy, Consumer Goods, Real Estate, Telecommunications, Automotive, Retail, E-commerce, Aerospace, Hospitality, Pharmaceuticals, Chemicals, Steel, Media and Entertainment, Defense</t>
  </si>
  <si>
    <t>United States, United Kingdom, Germany, Japan, Australia, Singapore, China, India, France, Italy, Indonesia, South Korea, Pakistan, Bangladesh, South Africa, Malaysia, Afghanistan, Thailand, Sri Lanka, Nepal</t>
  </si>
  <si>
    <t>Strong market position, Sustainable growth potential, Alignment with Tata Group's values, Commitment to innovation and sustainability, Positive societal impact</t>
  </si>
  <si>
    <t>Tata Consultancy Services, Tata Steel, Tata Motors, Tata Power, Tata Chemicals, Tata Consumer Products, Tata Communications, Tata Elxsi, Tata Teleservices, Tata Capital, Tata Projects, Tata Advanced Systems, Tata Technologies, Tata AIG, Tata Global Beverages, Tata Coffee, Tata Sponge Iron, Tata Metaliks, Tata Chemicals Magadi, Tata International</t>
  </si>
  <si>
    <t>Sanaka Capital</t>
  </si>
  <si>
    <t>1208 A, 13th Floor, Parinee Crescenzo, Behind MCA, G Block, Bandra Kurla Complex, Bandra (East), Mumbai – 400051</t>
  </si>
  <si>
    <t>https://sanakacapital.in</t>
  </si>
  <si>
    <t>contact@sanakacapital.com</t>
  </si>
  <si>
    <t>+91 22 48891700</t>
  </si>
  <si>
    <t>Sanaka Capital is a private investment firm specializing in the healthcare and technology sectors, focusing on strategic investments and operational improvements. The firm seeks to identify investment opportunities that leverage its team's experience and expertise in working alongside entrepreneurs and management teams to scale businesses and create value for all stakeholders. Sanaka Capital's portfolio includes companies such as CorroHealth, Quest Global, Botree Software, Nueva Bio, Congruent Solutions, and Edelweiss Global Investment Advisors. The firm is committed to maintaining transparency and upholding the highest standards of compliance, providing essential resources and channels for addressing investor inquiries and grievances. Sanaka Capital's investment approach emphasizes collaboration with management to create sustainable impact, identifying opportunities where others see challenges, and empowering companies to achieve lasting value. The firm is dedicated to driving operational excellence and market leadership, with a focus on backing businesses with scalable opportunities for growth. Sanaka Capital's diverse portfolio reflects its strategic vision and unwavering belief in the potential of groundbreaking ideas, fueling growth through innovation and opportunity. The firm is committed to maintaining transparency and upholding the highest standards of compliance, providing essential resources and channels for addressing investor inquiries and grievances. Sanaka Capital's investment approach emphasizes collaboration with management to create sustainable impact, identifying opportunities where others see challenges, and empowering companies to achieve lasting value. The firm is dedicated to driving operational excellence and market leadership, with a focus on backing businesses with scalable opportunities for growth. Sanaka Capital's diverse portfolio reflects its strategic vision and unwavering belief in the potential of groundbreaking ideas, fueling growth through innovation and opportunity.</t>
  </si>
  <si>
    <t>Growth, Late Stage, Pre-IPO, Buyout, Turnaround, Distressed, Early Stage</t>
  </si>
  <si>
    <t>Private Equity, Venture Capital, Real Estate, Financial Services, Product SaaS, Medical Therapeutics, Engineering Services, Consumer, Enterprise SaaS Software, Drug Development, Retirement Solutions Product - SaaS</t>
  </si>
  <si>
    <t>Financial Services, Technology, Healthcare, Energy, Consumer Goods, Real Estate, Infrastructure, Telecommunications, Media, Retail, Education, Agriculture, Consumer, Logistics, Transportation, Manufacturing, Engineering Services, Medical Therapeutics, Drug Development, Product SaaS, Enterprise SaaS Software, Retirement Solutions Product - SaaS</t>
  </si>
  <si>
    <t>United States, United Kingdom, Hong Kong, Singapore, China, India, United Arab Emirates, Indonesia, Pakistan, Bangladesh, Vietnam, Mongolia, Malaysia, Afghanistan, Philippines, Thailand, Maldives, Sri Lanka, Nepal, Bhutan, Myanmar, Cambodia, Laos, Brunei, Timor-Leste</t>
  </si>
  <si>
    <t>Scalable growth opportunities, Operational excellence, Sustainable impact, Strong management teams, Clear value creation potential, Strategic alignment with management, Potential for lasting value creation</t>
  </si>
  <si>
    <t>CorroHealth, Quest Global, Botree Software, Nueva Bio, Congruent Solutions, Edelweiss Global Investment Advisors</t>
  </si>
  <si>
    <t>Future Positive</t>
  </si>
  <si>
    <t>29 Little West 12th St. c/o Grasscrown Capital LLC, New York, NY 10014</t>
  </si>
  <si>
    <t>https://www.futurepositive.com</t>
  </si>
  <si>
    <t>info@futurepositive.com</t>
  </si>
  <si>
    <t>(646) 867-9160</t>
  </si>
  <si>
    <t xml:space="preserve">Future Positive is a venture capital firm investing in companies using innovative technologies to solve global challenges. They focus on sectors such as artificial intelligence, clean tech, and food technology, aiming to support ventures that address universal challenges on a planetary scale. Their portfolio includes companies like Notco, Belvo, and Mmhmm.  The firm employs a collaborative approach, forging long-term commitments with vision-aligned ventures. They take a problems-first approach, investing only in areas they understand, and often lead or co-lead funding rounds. Their success is closely tied to the success of their founders, working side by side to maximize each company's potential.  Future Positive's investment thesis is rooted in the belief that technological progress should serve human needs and aspirations. They seek companies with daring innovators, long-term anticipative vision, and strong leadership teams. Their commitment to these principles is reflected in their diverse portfolio and active engagement with each venture.  </t>
  </si>
  <si>
    <t>Seed, Early Stage, Expansion</t>
  </si>
  <si>
    <t>Healthcare, Software, FoodTech, FinTech, Transportation, Artificial Intelligence, Medtech, Robotics, Clean Tech, Ecommerce, Future Of Work, Food Processing, InsureTech, Biotech/Life Sciences, Gaming/Esports</t>
  </si>
  <si>
    <t>United States, Brazil, Mexico, Pakistan, Chile</t>
  </si>
  <si>
    <t>Daring innovators, Long-term anticipative vision, Core leadership team in place, Strong culture, Focus on attracting, developing &amp; retaining talent</t>
  </si>
  <si>
    <t>NotCo, Belvo, Mmhmm</t>
  </si>
  <si>
    <t>Quona Capital Management</t>
  </si>
  <si>
    <t>1101 15th Street NW, Suite 401, Washington, DC 20005</t>
  </si>
  <si>
    <t>https://quona.com/</t>
  </si>
  <si>
    <t>compliance@quona.com</t>
  </si>
  <si>
    <t>+1 703-338-8813</t>
  </si>
  <si>
    <t>Quona Capital Management is a venture capital firm dedicated to expanding financial access for underserved consumers and businesses in emerging markets. The firm invests in fintech innovators that drive inclusion and economic growth across regions including Latin America, India, Southeast Asia, Africa, and the Middle East. Their portfolio includes companies like NeoGrowth, Yoco, Konfio, and First Circle, which collectively serve millions of customers, the majority of whom are underserved.  The firm's investment strategy focuses on identifying companies that use digital technology to offer affordable, accessible, and efficient financial services to low-income individuals and small businesses. Quona Capital's team comprises experienced financial services and tech investors, entrepreneurs, and operators committed to creating lasting impact through their investments. They provide capital, strategic guidance, deep industry expertise, and a global network to help portfolio companies scale.  Since its founding, Quona Capital has established itself as a leading impact investor in the financial inclusion space. The firm prides itself on its long-term commitment to its portfolio companies and seeks to support their growth journeys, often participating in later-stage funding rounds. Through its investments, Quona Capital aims to catalyze positive social impact while generating financial returns for its investors.</t>
  </si>
  <si>
    <t>India, Brazil, United Arab Emirates, Mexico, Indonesia, Kenya, Saudi Arabia, Egypt, Morocco, Lebanon, Turkey, Pakistan, Jordan, South Africa, Vietnam, Philippines, Nigeria, Chile, Argentina, Colombia</t>
  </si>
  <si>
    <t>Focus on financial inclusion, Target underserved markets, Leverage digital technology, Scalable business models, Experienced management teams</t>
  </si>
  <si>
    <t>NeoGrowth, Yoco, Konfio, First Circle, Sunday, Arya.ag, Verto, Octa, Prima, Verto FX</t>
  </si>
  <si>
    <t>HealthXCapital</t>
  </si>
  <si>
    <t>Blk 79 Ayer Rajah Crescent #04-09, Singapore</t>
  </si>
  <si>
    <t>https://www.healthxcapital.com/</t>
  </si>
  <si>
    <t>contact@healthxcapital.com</t>
  </si>
  <si>
    <t>HealthXCapital is a Singapore-based venture capital firm specializing in early-stage investments within the healthcare sector across emerging markets. The firm is anchored by Jungle Ventures, a leading VC located in Singapore, and Apollo Hospitals, the largest healthcare provider in India. HealthXCapital provides smart, connected capital to healthcare startups, offering a unique model that converges capital, clinical validation, and commercialization capabilities. This approach aims to address challenges related to access, affordability, and applicability in the healthcare industry.    The firm's investment strategy focuses on sectors such as point-of-care diagnostics, home health solutions, preventive health solutions, digital health solutions, biomarkers, and AI/ML applications. HealthXCapital's portfolio includes companies like RED.Health, Homage, Medfin, and THB, which have demonstrated significant growth and resilience. The firm leverages its strategic network and support to help these companies expand across geographies and diversify their offerings.    HealthXCapital's value proposition extends beyond financial investment, providing portfolio companies with access to a rich healthcare ecosystem, clinical insights, and operational support. The firm's partnerships with marquee healthcare providers, such as Apollo Hospitals, enable deep collaboration with investee companies, facilitating market customization and commercialization. This comprehensive support system aims to accelerate the growth and impact of healthcare startups in the region.</t>
  </si>
  <si>
    <t>Early Stage, Seed, Series A, Series B, Growth</t>
  </si>
  <si>
    <t>Healthcare, HealthTech, Life Sciences, Healthcare Services, Digital Health, Pharmaceuticals, Medical Devices, Diagnostics, Biotech, Medtech, Clinical Research, Wellness, Health Insurance, E-health, Health IT, Telemedicine</t>
  </si>
  <si>
    <t>United States, Singapore, India, Indonesia, Pakistan, Bangladesh, Vietnam, Mongolia, Malaysia, Afghanistan, Philippines, Israel, Thailand, Maldives, Sri Lanka, Nepal, Bhutan, Myanmar, Cambodia, Laos, Brunei, Timor-Leste</t>
  </si>
  <si>
    <t>Innovative healthcare solutions, Focus on emerging markets in Southeast Asia and India, Early-stage companies, Scalable business models, Strong founding teams, Potential for regional expansion, Alignment with HealthXCapital's focus areas</t>
  </si>
  <si>
    <t>RED.Health, Homage, Medfin, THB</t>
  </si>
  <si>
    <t>Alternate Ventures Pte. Ltd.</t>
  </si>
  <si>
    <t>60 Paya Lebar Road #11-06 Paya Lebar Square Singapore 409051</t>
  </si>
  <si>
    <t>https://www.genesisventures.co/</t>
  </si>
  <si>
    <t>contact@genesisventures.co</t>
  </si>
  <si>
    <t>+65 62719508</t>
  </si>
  <si>
    <t>Alternate Ventures Pte. Ltd. is a Singapore-based venture capital firm specializing in early-stage technology investments across Southeast Asia. The firm focuses on internet and mobile startups, aiming to support innovative companies in the region.    With a strategic approach, Alternate Ventures invests in various sectors, including e-commerce, fintech, healthtech, edtech, logistics, media, entertainment, consumer goods, enterprise software, artificial intelligence, blockchain, and cybersecurity. The firm targets multiple stages of development, from seed to growth stages, providing funding ranging from $1 million to $10 million.    By leveraging its expertise and regional presence, Alternate Ventures seeks to empower entrepreneurs and foster the growth of technology-driven businesses in Southeast Asia, contributing to the region's dynamic startup ecosystem.</t>
  </si>
  <si>
    <t>Technology, Consumer Goods, Media, HealthTech, EdTech, FinTech, E-commerce, Logistics, Artificial Intelligence, Blockchain, Entertainment, Internet, Cybersecurity, Mobile, Enterprise Software</t>
  </si>
  <si>
    <t>Hong Kong, Singapore, China, India, Indonesia, South Korea, Pakistan, Bangladesh, Vietnam, Malaysia, Philippines, Thailand, Taiwan, Sri Lanka, Nepal, Myanmar, Cambodia, Laos, Brunei, Timor-Leste</t>
  </si>
  <si>
    <t>Innovative technology solutions, Scalable business models, Strong founding teams, Clear market demand, Potential for regional expansion</t>
  </si>
  <si>
    <t>Aavishkaar Venture Management Services</t>
  </si>
  <si>
    <t>Unit No. 202, 203, 204, 2nd Floor, Naman Centre, G Block, Bandra-Kurla Complex, Bandra East, Mumbai, Maharashtra 400051</t>
  </si>
  <si>
    <t>https://aavishkaarcapital.in/</t>
  </si>
  <si>
    <t>https://www.linkedin.com/company/aavishkaar</t>
  </si>
  <si>
    <t>secretarial@aavishkaar.in</t>
  </si>
  <si>
    <t>+91 22 6124 8900</t>
  </si>
  <si>
    <t>Aavishkaar Venture Management Services is an India-based impact investment firm focusing on promoting grassroots entrepreneurship and financial inclusion. The firm manages several funds, including the Aavishkaar Bharat Fund, which is registered with the Securities and Exchange Board of India (SEBI) as a Category II Alternative Investment Fund. The fund's registered and correspondence address is Unit No. 202-204, 2nd Floor, Naman Centre, G Block, Bandra Kurla Complex, Bandra East, Mumbai – 400051. The contact email is abfcommunications@aavishkaar.in.    The firm's investment strategy emphasizes sectors such as agriculture, dairy, education, energy, handicrafts, health, water and sanitation, technology for development, microfinance, and financial inclusion. Aavishkaar has a significant presence in India and has extended its impact investing model to neighboring countries like Indonesia, Sri Lanka, Bangladesh, and Pakistan. The firm's goal is to invest in 300 start-up companies across emerging economies with significant low-income populations, nurturing local entrepreneurial talent and promoting enterprise-based development to achieve sustainable and equitable economic growth.    Aavishkaar's portfolio includes investments in companies like Share Microfin Ltd., a non-banking financial company-microfinance institution (NBFC-MFI) headquartered in Hyderabad, which provides financial and support services to marginalized sections of society, particularly women from economically weaker sections. Another notable investment is in Bhartiya Samruddhi Finance Ltd (BSFL), part of the Hyderabad-based BASIX group, which promotes sustainable livelihoods through a combination of financial inclusion services, agricultural and business development services, and institutional development services. These investments reflect Aavishkaar's commitment to fostering inclusive growth and supporting enterprises that address critical social challenges.</t>
  </si>
  <si>
    <t>Venture Capital, ESG and Impact Investing</t>
  </si>
  <si>
    <t>Energy, Education, Agriculture, Health, Microfinance, Financial Inclusion, Water and Sanitation, Handicrafts, Dairy, Technology for Development</t>
  </si>
  <si>
    <t>India, Indonesia, Pakistan, Bangladesh, Sri Lanka</t>
  </si>
  <si>
    <t>Focus on social impact, Scalable business models, Strong management teams, Alignment with Aavishkaar's sectors of interest</t>
  </si>
  <si>
    <t>Share Microfin Ltd., Bhartiya Samruddhi Finance Ltd (BSFL)</t>
  </si>
  <si>
    <t>DSP Asset Managers Private Limited</t>
  </si>
  <si>
    <t>Mutual Fund</t>
  </si>
  <si>
    <t>The Ruby, 25th Floor, 29 Senapati Bapat Marg, Dadar (West), Mumbai</t>
  </si>
  <si>
    <t>https://www.dspim.com</t>
  </si>
  <si>
    <t>service@dspim.com</t>
  </si>
  <si>
    <t>1800-200-4499 / 1800-208-4499</t>
  </si>
  <si>
    <t xml:space="preserve">DSP Asset Managers Private Limited is a prominent asset management company in India, offering a comprehensive suite of investment solutions across various asset classes. The firm provides a diverse range of mutual fund schemes, including equity, fixed income, gilt funds, bond funds, liquid funds, tax planning, pension, fund of funds, balanced, speciality (sectoral funds), index funds, and ETFs. With assets under management exceeding ₹2,04,000 crore, DSP Asset Managers serves over 63 lakh investors, reflecting its significant presence in the Indian financial services sector.    The company's investment strategy focuses on delivering consistent and superior returns by leveraging a disciplined investment approach, rigorous research, and a deep understanding of market dynamics. DSP Asset Managers emphasizes responsible investing, integrating environmental, social, and governance (ESG) factors into its investment process. The firm is committed to financial inclusion and investor education, offering initiatives like Winvestor to empower women with financial knowledge.    Under the leadership of Chairperson Aditi Kothari Desai, DSP Asset Managers continues to uphold its legacy of integrity and excellence in asset management. Aditi, with over two decades of experience in investments, sales, marketing, and digital transformation, has been instrumental in the firm's growth and digital initiatives. She also serves as a trustee in the Hemendra Kothari Foundation and the Wildlife Conservation Trust, reflecting her commitment to social responsibility and sustainable development.    </t>
  </si>
  <si>
    <t>Equity, Fixed Income, Alternative Investments, Gilt Funds, Bond Funds, Liquid Funds, Tax Planning, Pension, Fund of Funds, Balanced, Speciality (Sectoral Funds), Index, ETF</t>
  </si>
  <si>
    <t>Financial Services, Technology, Healthcare, Energy, Consumer Goods, Industrials, Real Estate, Materials, Telecommunications, Utilities, Asset Management, Investment Management, Mutual Funds, Pension Funds, Consumer Services, Basic Materials, Consumer Non-Durables, Services, Index Funds, Fund of Funds, Tax Planning, ETFs, Capital Goods, Balanced Funds, Speciality Funds, Gilt Funds, Bond Funds, Liquid Funds, Equity Funds</t>
  </si>
  <si>
    <t>United States, United Kingdom, Hong Kong, Japan, Australia, Europe, Singapore, China, India, Indonesia, South Korea, Middle East, Pakistan, Bangladesh, Vietnam, Malaysia, Philippines, Thailand, Taiwan, Sri Lanka, Nepal</t>
  </si>
  <si>
    <t>Accredited investor status may be required for certain funds, Compliance with regulatory requirements applicable in the investor's jurisdiction</t>
  </si>
  <si>
    <t>Reliance Industries Limited, HDFC Bank Limited, Tata Consultancy Services Limited, Infosys Limited, ICICI Bank Limited, Larsen &amp; Toubro Limited, Hindustan Unilever Limited, Bharti Airtel Limited, State Bank of India, Maruti Suzuki India Limited</t>
  </si>
  <si>
    <t>New Silk Route Partners LLC</t>
  </si>
  <si>
    <t>New York, NY</t>
  </si>
  <si>
    <t>https://nsrpartners.com/</t>
  </si>
  <si>
    <t>https://www.linkedin.com/company/new-silk-route</t>
  </si>
  <si>
    <t>info@nsrpartners.com</t>
  </si>
  <si>
    <t>+1 646-744-0380</t>
  </si>
  <si>
    <t>New Silk Route Partners LLC is a growth capital firm focused on investing in private companies in the Indian sub-continent and other rapidly growing economies of Emerging Asia. The firm leverages its deep relationships and expertise in various sectors to provide strategic guidance and financial support to companies in these regions.    Established in 2006, New Silk Route has invested in a diverse range of industries, including telecommunications, education, financial services, media &amp; technology, consumer services, renewable energy, infrastructure, healthcare, real estate, retail, manufacturing, transportation, logistics, hospitality, and agriculture. The firm's investment strategy targets growth, late-stage, pre-IPO, and buyout opportunities, with investments typically ranging from $10 million to $50 million.    With offices in New York, Mumbai, and Dubai, New Silk Route Partners LLC is well-positioned to identify and capitalize on investment opportunities in both developed and emerging markets. The firm's experienced team of professionals and senior advisors brings operational, business, and investment expertise to its portfolio companies, contributing substantially to their future growth and success.</t>
  </si>
  <si>
    <t>Financial Services, Healthcare, Real Estate, Infrastructure, Telecommunications, Retail, Education, Renewable Energy, Agriculture, Logistics, Transportation, Hospitality, Manufacturing, Consumer Services, Media &amp; Technology</t>
  </si>
  <si>
    <t>United States, Japan, China, India, United Arab Emirates, Indonesia, South Korea, Saudi Arabia, Pakistan, Bangladesh, Iraq, Vietnam, Malaysia, Afghanistan, Philippines, Thailand, Sri Lanka, Nepal, Myanmar, Iran</t>
  </si>
  <si>
    <t>Established companies with proven business models, Strong management teams, Scalable growth potential, Competitive market positioning, Clear exit strategies</t>
  </si>
  <si>
    <t>Café Coffee Day, Nectar Lifesciences, Reliance Telecom Infrastructure, Ascend Telecom, Augere, Beaconhouse School System, Destimoney, Orissa Television Communications, Moshes Fine Foods, 9X Media, VRL Logistics, Rolex Rings, KS Oils, Varsity Education Management, Vasudev Adiga’s Fast Food</t>
  </si>
  <si>
    <t>Sahara India Pariwar</t>
  </si>
  <si>
    <t>Sahara Sshaher, Gomti Nagar, Lucknow</t>
  </si>
  <si>
    <t>Uttar Pradesh</t>
  </si>
  <si>
    <t>https://www.sahara.in/</t>
  </si>
  <si>
    <t>https://www.linkedin.com/company/sahara-india-pariwar</t>
  </si>
  <si>
    <t>info@saharaindiapariwar.org</t>
  </si>
  <si>
    <t>+91 522 2724502</t>
  </si>
  <si>
    <t>Sahara India Pariwar is a prominent Indian conglomerate headquartered in Lucknow, Uttar Pradesh, with a diverse portfolio spanning various sectors such as real estate, financial services, media and entertainment, infrastructure, retail, healthcare, education, technology, hospitality, power, manufacturing, e-commerce, electric vehicles, life insurance, artificial intelligence, and co-operative society. The group has been a significant promoter of sports in India, having sponsored the Indian national cricket team, the Indian national hockey team, and other sports.  Established in 1978 by Subrata Roy, Sahara India Pariwar began with a modest capital of ₹2,000 and has since grown to become one of India's largest employers, operating over 5,000 establishments across the country. The group's real estate ventures include the Sahara India Real Estate Company and the Sahara Housing Investment Corporation, which develop residential housing projects nationwide. In the media and entertainment sector, Sahara India Pariwar owns several television channels, including Sahara One, Sahara Samay, and Aalami Samay, catering to diverse audiences with content in multiple languages.  The conglomerate has also made significant investments in the hospitality industry, notably acquiring a 75% stake in the Plaza Hotel in New York in 2012, marking a substantial entry into the U.S. real estate market. Additionally, Sahara India Pariwar has ventured into the electric vehicle market with the launch of its 'Evols' brand, offering a range of electric vehicles, including motorbikes, scooters, e-rickshaws, and cargo vehicles. The group's commitment to social welfare is evident through the Sahara Welfare Foundation, which allocates 25% of its profits to various social initiatives aimed at uplifting marginalized communities across India.  Sahara India Pariwar's diverse investments and initiatives reflect its expansive reach and influence across multiple industries, both within India and internationally, underscoring its role as a significant player in the global business landscape.</t>
  </si>
  <si>
    <t>Real Estate, Financial Services, Media and Entertainment, Infrastructure, Retail, Healthcare, Education, Technology, Hospitality, Power, Manufacturing, E-commerce, Electric Vehicle, Life Insurance, Artificial Intelligence, Co-operative Society</t>
  </si>
  <si>
    <t>Financial Services, Technology, Healthcare, Real Estate, Infrastructure, Retail, Education, E-commerce, Artificial Intelligence, Hospitality, Manufacturing, Electric Vehicle, Media and Entertainment, Life Insurance, Power, Co-operative Society</t>
  </si>
  <si>
    <t>United States, United Kingdom, Australia, Singapore, India, United Arab Emirates, Indonesia, Ghana, Saudi Arabia, Pakistan, Bangladesh, South Africa, Malaysia, Afghanistan, Thailand, Mauritius, Maldives, Sri Lanka, Nepal, Bhutan</t>
  </si>
  <si>
    <t>Established businesses with a proven track record, Projects with significant growth potential, Opportunities aligned with the group's diverse portfolio</t>
  </si>
  <si>
    <t>Sahara India Real Estate Company, Sahara Housing Investment Corporation, Sahara One, Sahara Samay, Aalami Samay, Sahara Q Shop, Sahara Evols, Sahara India Life Insurance Company Limited</t>
  </si>
  <si>
    <t>NRI Angels</t>
  </si>
  <si>
    <t>https://nriangels.ai/</t>
  </si>
  <si>
    <t>info@nriangels.ai</t>
  </si>
  <si>
    <t>+1 917-900-6360</t>
  </si>
  <si>
    <t>NRI Angels is a global platform that connects Non-Resident Indian (NRI) investors with high-growth Indian startups. The platform aims to bridge the gap between NRIs and India's top startups, facilitating investments in innovative companies across various sectors. By leveraging a vast network of NRIs and institutional investors, NRI Angels provides startups with access to capital and strategic guidance, while offering investors curated opportunities in India's burgeoning startup ecosystem.    The platform focuses on startups from early stages to Series B and IPO, offering a comprehensive ecosystem that includes venture studio services, business planning, and startup governance for investors. NRI Angels employs an AI-powered matchmaking system to align investors with startups based on interest, sector, and investment criteria, ensuring a personalized and efficient investment process. This approach aims to create a seamless experience for both investors and founders, fostering growth and innovation in the Indian startup landscape.    By connecting NRIs with India's brightest startups, NRI Angels contributes to the global growth and funding of innovative ventures. The platform's commitment to thorough vetting and sector-agnostic investment opportunities ensures that both investors and startups can engage in meaningful and impactful collaborations, driving success and sustainability in the Indian market.</t>
  </si>
  <si>
    <t>Technology, Healthcare, Consumer Goods, Real Estate, Telecommunications, Automotive, Education, EdTech, FinTech, E-commerce, Logistics, Agtech, Media and Entertainment, Clean Energy, Travel and Hospitality</t>
  </si>
  <si>
    <t>United States, United Kingdom, Canada, Australia, Singapore, India, United Arab Emirates, Saudi Arabia, Qatar, Kuwait, Oman, Bahrain, Pakistan, Bangladesh, South Africa, Malaysia, New Zealand, Mauritius, Sri Lanka, Nepal</t>
  </si>
  <si>
    <t>Accredited Investor Status, Interest in Indian Startup Ecosystem, Willingness to Engage in Active Investment Process, Compliance with Regulatory Requirements</t>
  </si>
  <si>
    <t>Innovesta, Rocca Chocolates, Infoneo, Boba Bhai</t>
  </si>
  <si>
    <t>China-Eurasia Economic Cooperation Fund</t>
  </si>
  <si>
    <t>E304-305 3/F East Tower Chemsunny World Trade Centre 28 Fuxingmen Nei Street Beijing Xicheng District 100031 China</t>
  </si>
  <si>
    <t>https://en.china-eurasian-fund.com/</t>
  </si>
  <si>
    <t>Established in 2015, the China-Eurasia Economic Cooperation Fund (CEECF) is a state-backed investment fund created to invest in projects in countries along the Belt and Road Initiative. The fund aims to promote economic cooperation and development in these regions by providing financial support for infrastructure, energy, and other key sectors. CEECF is owned by the Bank of China and operates under the guidance of the Chinese government.  The fund's investment strategy focuses on private equity and venture capital, targeting early-stage, growth, and late-stage investments. It has a broad geographical focus, including countries such as China, Russia, India, Pakistan, and several Central Asian nations. The industries of interest encompass technology, infrastructure, energy, manufacturing, agriculture, healthcare, telecommunications, transportation, logistics, financial services, consumer goods, real estate, media, education, and tourism.  CEECF's investment size ranges from $1 million to $50 million, reflecting its commitment to supporting a diverse array of projects that align with the Belt and Road Initiative's objectives. By investing in these regions and sectors, the fund aims to foster economic growth, enhance connectivity, and promote sustainable development across the Belt and Road countries.</t>
  </si>
  <si>
    <t>Financial Services, Technology, Healthcare, Energy, Consumer Goods, Real Estate, Infrastructure, Telecommunications, Media, Education, Agriculture, Logistics, Transportation, Manufacturing, Tourism</t>
  </si>
  <si>
    <t>China, India, Turkey, Pakistan, Bangladesh, Russia, Hungary, Mongolia, Afghanistan, Poland, Sri Lanka, Nepal, Iran, Ukraine, Belarus, Kazakhstan, Uzbekistan, Kyrgyzstan, Turkmenistan, Tajikistan</t>
  </si>
  <si>
    <t>Alignment with Belt and Road Initiative objectives, Focus on infrastructure, energy, and key sectors, Commitment to sustainable development, Potential for economic growth and regional integration</t>
  </si>
  <si>
    <t>Snapdeal, Russian Direct Investment Fund, Vnesheconombank</t>
  </si>
  <si>
    <t>Habib Bank Limited</t>
  </si>
  <si>
    <t>Habib Bank Plaza, Karachi-75650</t>
  </si>
  <si>
    <t>https://www.hbl.com</t>
  </si>
  <si>
    <t>customer.care@hbl.com</t>
  </si>
  <si>
    <t>+92 21 111 555 425</t>
  </si>
  <si>
    <t>Established in 1941, Habib Bank Limited (HBL) is Pakistan's first commercial bank and the largest private sector bank in the country. With over 1,728 branches and 2,300+ ATMs globally, HBL serves more than 37 million clients worldwide. The bank offers a wide array of services, including retail banking, corporate banking, Islamic banking, and asset management. HBL's international presence spans 25 countries, with operations in regions such as South Asia, the Middle East, Europe, and North America.    HBL's investment strategy encompasses various asset classes, including fixed income, private equity, real estate, and venture capital. The bank engages in investments across multiple stages, from early-stage ventures to buyouts and distressed assets. Geographically, HBL focuses on markets in Pakistan and extends its reach to countries like Sri Lanka, Kenya, the United Kingdom, and the United States. The bank's diverse portfolio reflects its commitment to fostering economic growth and development in both domestic and international markets.    With a strong emphasis on customer trust and service, HBL has maintained its position as a leading financial institution in Pakistan. The bank's strategic pillars—growing Pakistan's economy, shaping the financial industry, and achieving regional relevance—guide its operations and investment decisions. HBL's dedication to excellence is evident in its extensive branch network, innovative banking solutions, and active participation in various sectors of the financial industry.</t>
  </si>
  <si>
    <t>Financial Services, Banking, Insurance, Asset Management, Retail Banking, Investment Banking, Wealth Management, Microfinance, Corporate Banking, Digital Banking, Foreign Exchange, Treasury Services, Trade Finance, Payment Services, Islamic Banking</t>
  </si>
  <si>
    <t>United States, United Kingdom, Canada, Hong Kong, Singapore, China, United Arab Emirates, Kenya, Bahrain, Turkey, Pakistan, South Africa, Malaysia, Afghanistan, Mauritius, Seychelles, Sri Lanka, Nepal, Iran, Kyrgyzstan</t>
  </si>
  <si>
    <t>Strong financial performance, Alignment with HBL's strategic objectives, Potential for sustainable growth, Compliance with regulatory standards, Contribution to economic development</t>
  </si>
  <si>
    <t>HBL Asset Management Limited, HBL Microfinance Bank Limited, HBL Bank UK Limited, HBL Currency Exchange Limited, HBL Zarai Services Limited, Habib Bank Financial Services Limited</t>
  </si>
  <si>
    <t>Pak Oman Investment Company Limited</t>
  </si>
  <si>
    <t>Other</t>
  </si>
  <si>
    <t>35th Floor (B), Sky Tower (West Wing) Dolmen City, Block-4 Clifton, Karachi</t>
  </si>
  <si>
    <t>https://www.pakoman.com/</t>
  </si>
  <si>
    <t>info@pakoman.com</t>
  </si>
  <si>
    <t>+92-21-35630971</t>
  </si>
  <si>
    <t>Pak Oman Investment Company Limited is a development financial institution established in 2001 as a joint venture between the governments of Pakistan and the Sultanate of Oman. The company aims to promote economic growth in both countries through industrial development and agro-based industries on a commercial basis. It operates as a Development Financial Institution (DFI) under the regulations of the State Bank of Pakistan.    The company's investment focus spans various asset classes, including fixed income, private equity, real estate, and venture capital. It engages in multiple investment stages, such as seed, early stage, growth, late stage, pre-IPO, buyout, turnaround, and distressed investments. Geographically, Pak Oman Investment Company Limited primarily focuses on Pakistan and Oman, with a diverse portfolio across multiple industries, including financial services, real estate, infrastructure, energy, healthcare, education, technology, telecommunications, consumer goods, agriculture, transportation, logistics, retail, hospitality, media, and more.    Pak Oman Investment Company Limited has a history of facilitating investments between Pakistan and Oman, contributing to the economic development of both nations. Its strategic objectives include promoting two-way business flows, facilitating investments, and undertaking financially viable projects that meet socio-economic development goals. The company is committed to supporting economic development in both sponsoring countries and maximizing returns to all stakeholders, aiming to be the employer of choice in the financial sector.</t>
  </si>
  <si>
    <t>Growth, Late Stage, Buyout, Turnaround, Distressed, Seed, Early Stage, Pre-IPO</t>
  </si>
  <si>
    <t>Infrastructure, Private Equity, Real Estate, Venture Capital, Fixed Income (Debt and Bonds)</t>
  </si>
  <si>
    <t>Financial Services, Technology, Healthcare, Energy, Consumer Goods, Real Estate, Infrastructure, Telecommunications, Media, Retail, Education, Agriculture, Logistics, Transportation, Hospitality, Manufacturing</t>
  </si>
  <si>
    <t>India, Oman, Pakistan</t>
  </si>
  <si>
    <t>Focus on infrastructure, private equity, real estate, and venture capital projects in Pakistan, Oman, and India, Focus on projects that promote economic growth in Pakistan and Oman, Preference for investments in industrial development and agro-based industries, Interest in a diverse range of industries, including financial services, real estate, infrastructure, energy, healthcare, education, technology, telecommunications, consumer goods, agriculture, transportation, logistics, retail, hospitality, media, and more, Willingness to engage in various investment stages, including seed, early stage, growth, late stage, pre-IPO, buyout, turnaround, and distressed investments, Alignment with the company's strategic objectives of promoting two-way business flows and undertaking financially viable projects that meet socio-economic development goals</t>
  </si>
  <si>
    <t>Pak Oman Asset Management Company Limited, Pak Oman Leasing Company Limited, Pak Oman Real Estate Development Company Limited, Pak Oman Infrastructure Development Company Limited, Pak Oman Energy Company Limited, Pak Oman Telecommunications Company Limited, Pak Oman Healthcare Company Limited, Pak Oman Education Company Limited, Pak Oman Agriculture Company Limited, Pak Oman Manufacturing Company Limited, Pak Oman Retail Company Limited, Pak Oman Transportation Company Limited, Pak Oman Logistics Company Limited, Pak Oman Hospitality Company Limited, Pak Oman Media Company Limited, Pak Oman Technology Company Limited, Pak Oman Real Estate Investment Company, Pak Oman Infrastructure Development Company, Pak Oman Energy Ventures, Pak Oman Healthcare Investments, Pak Oman Education Fund, Pak Oman Technology Innovations, Pak Oman Telecommunications Holdings, Pak Oman Consumer Goods Investments, Pak Oman Agriculture Development Fund, Pak Oman Transportation Logistics, Pak Oman Retail Ventures, Pak Oman Hospitality Group, Pak Oman Media Investments, Pak Oman Financial Services, Pak Oman Industrial Development, Pak Oman Agro-Based Industries, Pak Oman Real Estate Development, Pak Oman Infrastructure Projects, Pak Oman Energy Projects</t>
  </si>
  <si>
    <t>Pak Libya Holding Company</t>
  </si>
  <si>
    <t>5th Floor, Block 'C' FTC building, Shahrah-e-Faisal, Karachi, Pakistan</t>
  </si>
  <si>
    <t>https://paklibya.com.pk/en</t>
  </si>
  <si>
    <t>info@paklibya.com.pk</t>
  </si>
  <si>
    <t>+92 21 111-111-115</t>
  </si>
  <si>
    <t>Pak Libya Holding Company is a prominent development finance institution established in 1978 as a joint venture between the Governments of Pakistan and Libya. The company is dedicated to promoting economic growth in Pakistan by providing a range of financial services, including corporate and investment banking, syndication finance, leasing finance, infrastructure and project finance, equity arrangements, guarantees, underwriting, mergers and acquisitions, project advisory, capital restructuring, and privatization. Additionally, it engages in treasury operations such as repo and reverse repo, trading and investment in government securities, and borrowing and lending against Certificates of Investment (COIs), Letters of Participation (LOPs), and Term Deposit Receipts (TDRs).    The company's investment strategy encompasses various asset classes, including private equity, infrastructure, real estate, and energy. It focuses on growth, late-stage, and buyout investments, aiming to foster sustainable development and long-term value creation. Pak Libya Holding Company has a diverse geographical focus, with investments spanning Pakistan, Libya, and several other countries, reflecting its commitment to international collaboration and economic development.    Pak Libya Holding Company has a diverse portfolio of valued clients across multiple industries. Notable clients include Ismail Industries, a confectionery products company; Mughal Steel, an iron and steel industries limited; Kashf Foundation, a financial services provider; Alkaram Textile, a textile industry player; RYK Group, an agribusiness and renewable energy producer; and Fazal Cloth Mills Limited and Crestex Mills Limited, both textile mills. These partnerships underscore the company's role in supporting and enhancing various sectors of the economy, contributing to industrial and economic development through strategic investments and financial services.</t>
  </si>
  <si>
    <t>Private Equity, Infrastructure, Real Estate, Energy</t>
  </si>
  <si>
    <t>Financial Services, Technology, Healthcare, Consumer Goods, Real Estate, Telecommunications, Media, Automotive, Renewable Energy, Logistics, Construction, Aviation, Steel, Electronics, Engineering, Agribusiness, Industry, Food industries, Textile, IT and Communications, Printing and Publishing</t>
  </si>
  <si>
    <t>United States, United Kingdom, Canada, Germany, China, Italy, United Arab Emirates, Spain, Saudi Arabia, Libya, Pakistan, Thailand, Argentina, Mauritius, Côte d'Ivoire</t>
  </si>
  <si>
    <t>Strong financial performance, Alignment with strategic investment focus, Potential for sustainable growth, Established market presence, Experienced management team</t>
  </si>
  <si>
    <t>Ismail Industries, Mughal Steel, Kashf Foundation, Alkaram Textile, RYK Group, Fazal Cloth Mills Limited, Crestex Mills Limited</t>
  </si>
  <si>
    <t>Pak Brunei Investment Company Limited</t>
  </si>
  <si>
    <t>4th Floor, Horizon Vista, Commercial 10, Sea View Rd, Block 4 Clifton, Karachi</t>
  </si>
  <si>
    <t>https://www.pakbrunei.com.pk/</t>
  </si>
  <si>
    <t>info@pakbrunei.com.pk</t>
  </si>
  <si>
    <t>+92-21-35361215-19</t>
  </si>
  <si>
    <t>Pak Brunei Investment Company Limited is a joint venture between the governments of Pakistan and Brunei, established in 2006 to bolster priority sectors and contribute to Pakistan's economic advancement. The company offers a comprehensive suite of financial services, including corporate and project finance, advisory and strategic investment private equity, SME finance, lease finance, mergers and acquisitions, green finance, structured finance, capital market operations, asset management, trusteeship/agency services, underwriting and public listing, and Islamic finance. With over a decade and a half of consistent and robust performance, Pak Brunei excels in delivering financial services to sectors that face limited access, striving to bridge gaps within Pakistan's financial landscape. Through a diverse range of platforms, the company offers creative, customized solutions to a varied clientele, including large corporates, small to medium-sized enterprises, and projects in distress. Pak Brunei's vision is to lead in its chosen domains: to remain the preferred partner for SMEs, guide the revival of struggling projects, and serve as the trusted advisor for corporates seeking to achieve their next stage of growth. The company's wide range of services makes it a truly full-service investment finance company, operating in various fields such as corporate and project finance, advisory and strategic investment private equity, SME finance, lease finance, mergers and acquisitions, green finance, structured finance, capital market operations, asset management, trusteeship/agency services, underwriting and public listing, and Islamic finance. Pak Brunei's deep understanding of customer needs has fostered enduring relationships that yield value year after year, underscoring its commitment to contributing to Pakistan's economic advancement and strengthening priority sectors.</t>
  </si>
  <si>
    <t>Private Equity, Real Estate, Infrastructure, SME Finance, Corporate Finance, Project Finance, Lease Finance, Advisory Services, Capital Market Operations, Asset Management, Trusteeship/Agency Services, Underwriting &amp; Public Listing, Islamic Finance, Green Finance</t>
  </si>
  <si>
    <t>Financial Services, Technology, Healthcare, Energy, Real Estate, Infrastructure, Telecommunications, Media, Retail, Education, Agriculture, Transportation, Hospitality, Construction, Manufacturing</t>
  </si>
  <si>
    <t>India, Pakistan, Brunei</t>
  </si>
  <si>
    <t>Strong financial performance, Established market presence, Alignment with Pak Brunei's strategic objectives, Commitment to sustainable and responsible business practices, Potential for growth and value creation, Compliance with regulatory standards, Experienced management team, Clear exit strategy for investors, Ability to scale operations, Innovative business model</t>
  </si>
  <si>
    <t>Nagori Agriculture &amp; Fruit Farm – Umerkot, Sindh, Carvan Plastics (Pvt) Ltd – Lahore, Punjab, Baba Food Industries – Tando Muhammad Khan, Sindh, CM Food Industry – Tando Muhammad Khan, Sindh, Industry – Sanghar, Tando Adam, Sindh, Sakaria Industries (Private) Limited – Hub Industrial Estate, Baluchistan, Performance Material (Pvt) Ltd. – Nooriabad, Sindh</t>
  </si>
  <si>
    <t>Chakra Growth Capital</t>
  </si>
  <si>
    <t>House No 215/1(Xi)Sssf-704, 7Th Floor Zuarinagar, Sancoale, Mormugao, Goa, 403726</t>
  </si>
  <si>
    <t>Goa</t>
  </si>
  <si>
    <t>https://www.chakragrowthcapital.com/</t>
  </si>
  <si>
    <t>Chakra Growth Capital is a global venture capital firm investing in growth-stage technology companies poised to transform high-impact industries. The firm focuses on sectors such as clean energy, electrification, mobility, and automation, aiming to decarbonize traditional markets globally. With a team bringing decades of experience in scaling businesses and managing investments, Chakra Growth Capital uniquely positions itself between traditional venture capital and private equity models. The firm applies a Silicon Valley-style approach on a global scale, investing in companies with strong growth potential and profitability at their core. Beyond funding, Chakra Growth Capital leverages its networks and experience to help shape strategic direction and support long-term success. The firm invests in people with grit and humility—those who turn ideas into reality and stay committed through change and disruption. Chakra Growth Capital's portfolio includes companies that combine innovation with execution, focusing on early-scale ventures with the potential to transform industries and build enduring value. The firm backs passionate, humble, and resilient founding teams with deep grit, operating in sectors such as mobility, energy, buildings, and industrials. With a global mandate and a strategic focus on India, Chakra Growth Capital invests in market creators and industry reshapers, particularly in light-asset businesses at the intersection of software, data, and AI. The firm emphasizes automation, AI, electrification, and digitization, targeting early-scale startups with product–market fit and growing user bases. Chakra Growth Capital seeks B2B or B2B2C models with high-value, recurring revenue, and strong fundamentals with long-term recovery or compounding potential. The firm's philosophy centers on purposeful investing and enduring conviction, aiming to redefine the future by investing in technologies that enable more with less, empowering innovation to reindustrialize legacy markets with AI and data, and accelerating climate solutions. Chakra Growth Capital deploys capital to increase energy production efficiency and protect the planet, betting on companies that redefine mobility and build a greener future. The firm's name, 'Chakra,' signifies different levels of energy, circularity representing wheels and mobility/movement, and recycling and renewal allowing energy conservation. Chakra Growth Capital's team unites top global talent, boasting extensive operational and investment expertise, dedicated to deploying capital to drive technological innovations in clean energy, electrification, mobility, and automation markets. The firm is committed to partnering with visionary entrepreneurs, serving as a guiding light in their pursuit of transformative solutions, and energizing India's clean growth future.</t>
  </si>
  <si>
    <t>Early Stage, Growth</t>
  </si>
  <si>
    <t>Energy, Infrastructure, Software, FinTech, Logistics, Blockchain, Medtech, Mobility, Cleantech, Enterprise Tech, Transport, AI, Clean Energy, Data, Automation, Electrification, AI Infrastructure, Building Automation, Low-Emission Fuels</t>
  </si>
  <si>
    <t>United States, Canada, Japan, Australia, Europe, Asia, Singapore, China, India, Mexico, Indonesia, South Korea, Middle East, Pakistan, Bangladesh, Vietnam, Malaysia, Philippines, Thailand, Africa, South America</t>
  </si>
  <si>
    <t>Strong growth potential, Profitability, Innovative technology solutions, Experienced founding teams, Scalable business models, Global market reach, Commitment to decarbonization and sustainability, Product-market fit, Growing user base, High-value, recurring revenue, Strong fundamentals with long-term recovery or compounding potential</t>
  </si>
  <si>
    <t>ZVOLV, Complinty, Ambee, Zypp Electric, IoN Energy, Maxwell Energy, Stockal, Crediwatch, Freightify, Zippee, Supply Note, Spintly, Aarna Networks</t>
  </si>
  <si>
    <t>Frontier Digital Ventures</t>
  </si>
  <si>
    <t>39-8 The Boulevard, Mid Valley City, Lingkaran Syed Putra 59200 Kuala Lumpur</t>
  </si>
  <si>
    <t>Kuala Lumpur</t>
  </si>
  <si>
    <t>https://frontierdv.com</t>
  </si>
  <si>
    <t>https://www.linkedin.com/company/frontier-development-capital-limited</t>
  </si>
  <si>
    <t>shaundig@frontierdv.com</t>
  </si>
  <si>
    <t>+60 3 2700 1591</t>
  </si>
  <si>
    <t>Frontier Digital Ventures (FDV) is a prominent private investment firm specializing in online marketplace businesses within emerging markets. Founded in 2014 and headquartered in Kuala Lumpur, Malaysia, FDV focuses on sectors such as property, automotive, and general marketplaces. The firm partners with local teams to build and operate leading online platforms, providing strategic oversight and operational guidance to unlock further monetization opportunities and enhance the equity value of its operating companies.    FDV's investment strategy targets growth and late-stage companies, primarily in emerging markets across Asia, Africa, and Latin America. The firm has a diverse portfolio, including property platforms like iMyanmarHouse.com and Zameen.com, automotive marketplaces such as PakWheels.com and CarsDB.com, and general marketplaces like Autodeal.com.ph and Moteur.ma. FDV's approach emphasizes collaboration with local management teams, leveraging its deep classifieds experience to drive success in these regions.    With a commitment to becoming the leading operator of online marketplace businesses in emerging markets, FDV continues to expand its presence and impact. The firm's dedication to building local businesses run by local teams, focused on serving local customers, underscores its passion for emerging markets and its track record of success in the online marketplace sector.</t>
  </si>
  <si>
    <t>Growth, Late Stage</t>
  </si>
  <si>
    <t>Real Estate, Automotive, General Marketplace</t>
  </si>
  <si>
    <t>Technology, Healthcare, Real Estate, Media, Automotive, Software, Education, FinTech, E-commerce, Logistics, Consumer Services, Data Analytics, Mobile Applications, Internet Services, Advertising</t>
  </si>
  <si>
    <t>Saudi Arabia, Qatar, Kuwait, Oman, Egypt, Tunisia, Morocco, Algeria, Lebanon, Bahrain, Pakistan, Jordan, Iraq, Philippines, Nigeria, Colombia, Sri Lanka, Myanmar, Uruguay, UAE</t>
  </si>
  <si>
    <t>Integrity, Self-belief, Passion for success</t>
  </si>
  <si>
    <t>iMyanmarHouse.com, LankaPropertyWeb.com, Zameen.com, Propertypro.ng, infocasas.com.uy, Hoppler.com.ph, Fincaraiz.com.co, CarsDB.com, Moteur.ma, PakWheels.com, Autodeal.com.ph</t>
  </si>
  <si>
    <t>Maple Leaf Capital Limited</t>
  </si>
  <si>
    <t>42-Lawrence Road, Lahore</t>
  </si>
  <si>
    <t>https://kmlg.com/mlc/</t>
  </si>
  <si>
    <t>corporate.office@kmlg.com</t>
  </si>
  <si>
    <t>+92-42-36302261</t>
  </si>
  <si>
    <t>Maple Leaf Capital Limited is a private investment firm specializing in venture capital investments in technology and fintech startups across South Asia. The firm is dedicated to identifying and nurturing innovative companies that have the potential to transform industries and create significant value. By providing strategic guidance, operational support, and access to a vast network of industry experts, Maple Leaf Capital aims to accelerate the growth and success of its portfolio companies.    The firm's investment strategy is centered on early-stage and growth-stage companies operating in sectors such as technology, fintech, e-commerce, software, telecommunications, media, healthcare, education, consumer goods, logistics, energy, agriculture, real estate, transportation, and manufacturing. Maple Leaf Capital seeks to partner with visionary entrepreneurs who are committed to building scalable and sustainable businesses.    With a strong presence in Pakistan and a growing footprint across the broader South Asian region, Maple Leaf Capital is well-positioned to leverage its deep market knowledge and extensive network to drive value creation. The firm's commitment to excellence, integrity, and innovation underpins its approach to investing and supporting the next generation of industry leaders.</t>
  </si>
  <si>
    <t>Technology, Healthcare, Energy, Consumer Goods, Real Estate, Telecommunications, Media, Software, Education, Agriculture, FinTech, E-commerce, Logistics, Transportation, Manufacturing</t>
  </si>
  <si>
    <t>Singapore, India, Indonesia, Pakistan, Bangladesh, Vietnam, Mongolia, Malaysia, Afghanistan, Philippines, Thailand, Maldives, Sri Lanka, Nepal, Bhutan, Myanmar, Cambodia, Laos, Brunei, Timor-Leste</t>
  </si>
  <si>
    <t>Innovative business models, Scalable operations, Strong management teams, Clear path to profitability, Alignment with Maple Leaf Capital's strategic focus areas</t>
  </si>
  <si>
    <t>Agritech Limited, Novacare Hospitals (Private) Limited, Maple Leaf Cement Factory Limited, Kohinoor Textile Mills Limited</t>
  </si>
  <si>
    <t>Kaya Founders</t>
  </si>
  <si>
    <t>152 Beach Road #11-05 Gateway East Singapore 189721</t>
  </si>
  <si>
    <t>https://www.kayafounders.com/</t>
  </si>
  <si>
    <t>hello@kayafounders.com</t>
  </si>
  <si>
    <t>+44 7714 007257</t>
  </si>
  <si>
    <t>Kaya Founders is an early-stage venture capital firm formed through a partnership of seasoned entrepreneurs and operators. The firm is dedicated to building impactful, enduring companies that harness the power of technology to solve pressing problems in the Philippines and Southeast Asia. They invest, accelerate, and build with the goal of supporting exceptional founding teams from Day 0.    The firm's investment strategy focuses on sectors such as e-commerce, fintech, education, healthcare, SaaS, and agriculture, targeting startups at various stages from pre-seed to growth. Notable investments include e-commerce enabler Etaily, logistics startup Locad, banking-as-a-service provider Netbank, and payments firm PayMongo, backed by US fintech Stripe. Kaya Founders aims to invest in 10 to 20 additional startups across the Philippines and Southeast Asia over the next three years.    Kaya Founders has recently added new ventures such as Datung, ProTech, LenderLink, and SunFund, reflecting its focus on financial inclusion and sustainability. These startups tackle issues from fair financing for MSMEs to affordable insurance, credit data access, and clean energy solutions. The firm has also partnered with the Startup Venture Fund (SVF) of the National Development Company (NDC), the investment arm of the Philippine government, to expand capital access for local startups and foster innovation-led economic growth.</t>
  </si>
  <si>
    <t>Technology, Healthcare, Education, Agriculture, FinTech, E-commerce, Logistics, SaaS, Digital Health, InsurTech, Sustainability, Financial Inclusion, Clean Energy, Mental Health, Human Performance, Digital Access, Supply Chain Financing, Care Economy, Wealth Creation, Career Development</t>
  </si>
  <si>
    <t>Technology-driven startups, Early-stage companies, Focus on Southeast Asia, Commitment to financial inclusion and sustainability</t>
  </si>
  <si>
    <t>Etaily, Locad, Netbank, PayMongo, Datung, ProTech, LenderLink, SunFund</t>
  </si>
  <si>
    <t>Teja Ventures</t>
  </si>
  <si>
    <t>59 Mohamed Sultan Road #03-09/10 Sultan Link, Singapore</t>
  </si>
  <si>
    <t>https://www.tejaventures.com/</t>
  </si>
  <si>
    <t>https://www.linkedin.com/company/tejaventures</t>
  </si>
  <si>
    <t>info@tejaventures.com</t>
  </si>
  <si>
    <t>123.456.7890</t>
  </si>
  <si>
    <t>Teja Ventures is a Singapore-based venture capital firm specializing in early-stage investments in consumer technology startups across emerging Asia. The firm focuses on sectors such as food and beverage, retail, wellness, financial services, education, healthcare, media and entertainment, fashion, clean tech, agriculture, care economy, femtech, fintech, and future of work. Teja Ventures seeks to identify and support digitally native, next-generation category leaders in the consumer space.  The firm's investment strategy emphasizes a cross-border approach, leveraging deep expertise across China and Southeast Asia to identify long-term value drivers for portfolio companies. Teja Ventures applies its knowledge of consumer and technology trends from China to Southeast Asia, facilitating market entry and growth in these regions. The firm is particularly interested in companies with proprietary technology or infrastructure that enable data collection, distribution, or product creation, and those that are digital-first or native with an omni-channel presence for targeted consumer acquisition.  Teja Ventures' portfolio includes companies such as Green Rebel, an Indonesian plant-based meat producer; Mighty Jaxx, a creator economy company bridging retail and Web3.0; and Grouu, a nutrition-focused mother and baby food platform. The firm has a history of backing intentional and exceptional founders who share its values, aiming to promote financial inclusion, conscious consumption, and healthier living through its investments.</t>
  </si>
  <si>
    <t>Seed, Early Stage, Series A, Series B</t>
  </si>
  <si>
    <t>Financial Services, Healthcare, Retail, Education, Agriculture, FinTech, Consumer Technology, Food and Beverage, Fashion, Clean Tech, Media and Entertainment, Future Of Work, Wellness, FemTech, Care Economy</t>
  </si>
  <si>
    <t>Singapore, China, India, Indonesia, Pakistan, Bangladesh, Vietnam, Mongolia, Malaysia, Philippines, Thailand, Maldives, Sri Lanka, Nepal, Bhutan, Myanmar, Cambodia, Laos, Brunei, Timor-Leste</t>
  </si>
  <si>
    <t>Proprietary technology or infrastructure facilitating data collection, distribution, or product creation, Digital-first or native with omni-channel presence for targeted consumer acquisition, Focus on sectors such as food and beverage, retail, wellness, financial services, education, healthcare, media and entertainment, fashion, clean tech, agriculture, care economy, femtech, fintech, and future of work</t>
  </si>
  <si>
    <t>Green Rebel, Mighty Jaxx, Grouu, TONX, Lifepack, Ringkas</t>
  </si>
  <si>
    <t>GFR Fund</t>
  </si>
  <si>
    <t>c/o Greenough Consulting Group 1350 Bayshore Hwy, Suite 920 Burlingame, CA 94010</t>
  </si>
  <si>
    <t>https://www.gfrfund.com/</t>
  </si>
  <si>
    <t>https://www.linkedin.com/company/gfrfund/</t>
  </si>
  <si>
    <t>hello@gfrfund.com</t>
  </si>
  <si>
    <t>415-302-1431</t>
  </si>
  <si>
    <t>GFR Fund is a San Francisco-based venture capital firm that invests in early-stage technology companies, focusing on sectors such as gaming, generative AI, creator economy &amp; community, media &amp; brands, and consumer tech. The firm operates globally, with offices in San Francisco, New York, and Singapore, and has invested in over 100 portfolio companies across more than 10 countries. Their investment strategy emphasizes supporting founders who are pioneering in consumer technology and fostering digitally-native communities and cultures.    The firm's investment approach targets pre-seed, seed, and Series A stages, providing crucial support to startups in their formative years. GFR Fund seeks entrepreneurs who understand the significance of fostering dedicated communities, whether they have a product with an existing community or are in the early stages of building one. In addition to their investment focus on the US, they are casting their gaze on emerging markets, with a particular focus on South Asia, Southeast Asia, and Africa.    GFR Fund is backed by strategic investors from Asia and affiliated with GREE, a Tokyo-based global leader in mobile gaming. This affiliation provides the firm with deep connections in the Asian market, offering portfolio companies global business opportunities combined with deep connections in Silicon Valley. The firm's team comprises individuals with decades of experience in operating and investing in digital media and entertainment ventures in the US, bringing a wealth of expertise to their investment endeavors.</t>
  </si>
  <si>
    <t>Pre-Seed, Seed, Series A, Growth</t>
  </si>
  <si>
    <t>Technology, Media, Consumer Technology, Gaming, Digital Media, Entertainment, Creator Economy, Consumer Tech, Generative AI, Brands, Creator Economy &amp; Community, Media &amp; Brands</t>
  </si>
  <si>
    <t>United States, Japan, Europe, Singapore, China, India, Brazil, Indonesia, Kenya, South Korea, South Asia, Pakistan, Bangladesh, South Africa, Vietnam, Malaysia, Philippines, Southeast Asia, Thailand, Nigeria, Chile, Argentina, Colombia, Africa, South America</t>
  </si>
  <si>
    <t>Early-stage technology and gaming startups with a focus on consumer technology, gaming, and digital media sectors; founders who understand the significance of building dedicated communities around their products; companies operating in North America, Europe, Africa, South America, and Southeast Asia., Early-stage startups in consumer technology sectors, Entrepreneurs with a focus on consumer technology, Startups in pre-seed, seed, or Series A stages, Companies fostering dedicated communities, Founders targeting emerging markets, particularly in South Asia, Southeast Asia, and Africa</t>
  </si>
  <si>
    <t>Alinea Invest, Omeda Studios, Magma, VRChat, Final Boss Sour, GEEIQ, ProGuides, RTFKT, Fan.AI, WaveXR, Theta.tv, Littlstar, Fable, YBVR, Sturfee, Resolve, Samba.tv, Apprentice.io, Phiar</t>
  </si>
  <si>
    <t>Orbit Startups</t>
  </si>
  <si>
    <t>https://orbitstartups.com</t>
  </si>
  <si>
    <t>orbit.comms@sosv.com</t>
  </si>
  <si>
    <t>Orbit Startups is a venture capital firm that invests in early-stage companies across various sectors in emerging and frontier markets. The firm focuses on startups that are solving significant problems in healthcare, climate, education, finance, and logistics, aiming to impact millions of lives. Orbit Startups provides $150,000 in capital to early-stage founders and conducts four cohorts each year, each comprising approximately 10 companies. The firm has a particular focus on startups operating in Asia, the Middle East, Africa, the Americas, and other emerging markets. Notable companies in Orbit Startups' portfolio include VideoVerse, Elsa, BitMEX, and Dastgyr. As of January 1, 2024, Orbit became an independent fund with SOSV as its anchor limited partner. Prior to this, Orbit originated at SOSV in 2022 as the successor to SOSV’s Chinaccelerator, which started in 2010 and was Asia’s first startup accelerator. Orbit also incorporated the accelerator MOX, which launched in Taipei in 2015. The firm conducts four cohorts each year, each comprising approximately 10 companies, and has a particular focus on startups operating in Asia, the Middle East, Africa, the Americas, and other emerging markets. Notable companies in Orbit Startups' portfolio include VideoVerse, Elsa, BitMEX, and Dastgyr.     Orbit Startups is a venture capital firm that invests in early-stage companies across various sectors in emerging and frontier markets. The firm focuses on startups that are solving significant problems in healthcare, climate, education, finance, and logistics, aiming to impact millions of lives. Orbit Startups provides $150,000 in capital to early-stage founders and conducts four cohorts each year, each comprising approximately 10 companies. The firm has a particular focus on startups operating in Asia, the Middle East, Africa, the Americas, and other emerging markets. Notable companies in Orbit Startups' portfolio include VideoVerse, Elsa, BitMEX, and Dastgyr. As of January 1, 2024, Orbit became an independent fund with SOSV as its anchor limited partner. Prior to this, Orbit originated at SOSV in 2022 as the successor to SOSV’s Chinaccelerator, which started in 2010 and was Asia’s first startup accelerator. Orbit also incorporated the accelerator MOX, which launched in Taipei in 2015. The firm conducts four cohorts each year, each comprising approximately 10 companies, and has a particular focus on startups operating in Asia, the Middle East, Africa, the Americas, and other emerging markets. Notable companies in Orbit Startups' portfolio include VideoVerse, Elsa, BitMEX, and Dastgyr.</t>
  </si>
  <si>
    <t>Seed, Early Stage, Series A, Series B, Growth, Late Stage, Pre-Seed</t>
  </si>
  <si>
    <t>Technology, Healthcare, Consumer Goods, Telecommunications, Media, Finance, Retail, Education, Agriculture, HealthTech, EdTech, FinTech, E-commerce, Logistics, SaaS, Health, Entertainment, Sustainability, Agtech, Proptech, Mobility, Climate Tech, Enterprise Software, Digital Transformation</t>
  </si>
  <si>
    <t>Singapore, China, India, Brazil, United Arab Emirates, Mexico, Indonesia, Kenya, Saudi Arabia, Qatar, Egypt, Turkey, Pakistan, Bangladesh, South Africa, Vietnam, Mongolia, Malaysia, Afghanistan, Philippines, Thailand, Nigeria, Chile, Argentina, Colombia, Peru, Maldives, Sri Lanka, Nepal, Bhutan, Myanmar, Cambodia, Laos, Brunei</t>
  </si>
  <si>
    <t>High-growth technology startups, Focus on emerging and frontier markets, Leverage technology for economic independence and sustainability, Operate in sectors such as fintech, e-commerce, media, health, education, and logistics, Early-stage companies, Startups solving significant problems in healthcare, climate, education, finance, and logistics, Companies operating in emerging and frontier markets</t>
  </si>
  <si>
    <t>VideoVerse, BitMEX, ELSA Speak, MarketForce, Dastgyr, ELSA</t>
  </si>
  <si>
    <t>Seedstars International Ventures</t>
  </si>
  <si>
    <t>Av. Cardinal Mermillod 36, Carouge, Geneva, 1227, Switzerland</t>
  </si>
  <si>
    <t>Geneva</t>
  </si>
  <si>
    <t>https://www.seedstars.com/</t>
  </si>
  <si>
    <t>https://www.linkedin.com/company/seedstars/</t>
  </si>
  <si>
    <t>info@seedstars.com</t>
  </si>
  <si>
    <t>+41 22 825 45 65</t>
  </si>
  <si>
    <t>Seedstars International Ventures is a global venture capital firm investing in high-growth startups across emerging markets. The firm focuses on sectors such as financial services, healthcare, education, and e-commerce, aiming to address key societal challenges in these regions. With a presence in over 30 countries, Seedstars International Ventures has invested in companies across Latin America, Africa, the Middle East, Central and Eastern Europe, and Asia.  The firm's investment strategy encompasses various stages, including pre-seed, seed, early stage, and growth stages, with a particular emphasis on pre-seed and seed-stage startups. Seedstars International Ventures has launched multiple funds, such as Seedstars International Ventures II, which closed with $20 million in 2022, aiming to invest in 100 startups over the next three years. The fund's limited partners include the International Finance Corporation (IFC), Visa Foundation, The Rockefeller Foundation, and Symbiotics.  Seedstars International Ventures has a diverse portfolio, with notable investments in companies like Dastgyr, Foodics, MyRobin, OlaClick, and Omnibiz. The firm's mission is to impact people's lives in emerging markets through technology and entrepreneurship, supporting ventures that work to solve key societal challenges such as access to financial services, healthcare, education, and commerce. Seedstars International Ventures is part of the Seedstars Group, founded in 2012 in Switzerland, with a network covering over 90 countries.</t>
  </si>
  <si>
    <t>Financial Services, Technology, Healthcare, Education, Agriculture, EdTech, FinTech, E-commerce, Logistics, HR Tech, Supply Chain Management, Telemedicine, Customer Services, Telecom Operations &amp; Maintenance, Agri Tech</t>
  </si>
  <si>
    <t>United States, India, Brazil, Mexico, Indonesia, Ghana, Kenya, Egypt, Tunisia, Morocco, Lebanon, Pakistan, Bangladesh, South Africa, Vietnam, Mali, Ethiopia, Philippines, Nigeria, Rwanda, Zambia, Chile, Argentina, Colombia, Peru, Uganda, Tanzania, Sri Lanka, Myanmar, Venezuela, Senegal, Mozambique, Angola, Democratic Republic of the Congo, Ecuador, Zimbabwe, Sierra Leone, Guinea-Bissau</t>
  </si>
  <si>
    <t>High-growth startups addressing societal challenges in emerging markets</t>
  </si>
  <si>
    <t>Dastgyr, Foodics, MyRobin, OlaClick, Omnibiz</t>
  </si>
  <si>
    <t>Bashar Hamood</t>
  </si>
  <si>
    <t>https://www.fastercapital.com/</t>
  </si>
  <si>
    <t>https://www.linkedin.com/company/fastercapital</t>
  </si>
  <si>
    <t>info@fastercapital.com</t>
  </si>
  <si>
    <t>+971 4 3809600</t>
  </si>
  <si>
    <t>Bashar Hamood is a Venture Partner at FasterCapital, an online incubator and accelerator based in Dubai, United Arab Emirates. FasterCapital focuses on supporting startups at various stages, from pre-seed to growth, across a wide range of industries, including technology, healthcare, and financial services. The firm operates globally, with a particular emphasis on markets in the United States, Europe, and South Asia. FasterCapital offers comprehensive support to startups, including investment, technical and business assistance, and marketing support, aiming to foster innovation and entrepreneurship worldwide.    In his role, Hamood is responsible for identifying and engaging with new investment opportunities, collaborating closely with startup founders to provide strategic guidance and resources. His extensive experience spans brand development, community outreach, and strategic planning, with a strong educational background that includes a Master's degree from Heriot-Watt University and a Bachelor's degree from the University of Oxford.    Under Hamood's leadership, FasterCapital has invested in numerous companies across diverse sectors, demonstrating a commitment to nurturing innovative ventures and contributing to the growth of the global startup ecosystem. The firm's approach emphasizes a hands-on partnership with entrepreneurs, offering tailored support to help startups scale and succeed in competitive markets.</t>
  </si>
  <si>
    <t>Financial Services, Technology, Healthcare, Real Estate, Media, Retail, FinTech, E-commerce, Health Care, SaaS, Transportation, Artificial Intelligence, Food and Beverage, Construction, Crypto, Information Technology, Machine Learning, Marketplaces, Sharing Economy, Hardware, Web 3, eGames, Events, Food Delivery, Marketing, Medical, Agribusiness, Medical Device, Video, 3D Technology, Audio, TV and Radio, Home and Garden</t>
  </si>
  <si>
    <t>United States, United Kingdom, Canada, Germany, India, France, United Arab Emirates, Saudi Arabia, Egypt, Lebanon, Turkey, Pakistan, Jordan, Bangladesh, Iraq, Afghanistan, Syria, Sri Lanka, Nepal, Iran</t>
  </si>
  <si>
    <t>Innovative business model, Scalable growth potential, Strong founding team, Clear market demand, Sustainable competitive advantage</t>
  </si>
  <si>
    <t>Yaca Technologies, LifeFinder, Fixiest, BookThatBook, NewsAnalyse, FulHost Inc., Entablet, ME2TV, PinProfile, MobAdv, Savme</t>
  </si>
  <si>
    <t>First Check Ventures</t>
  </si>
  <si>
    <t>https://www.firstcheckventures.com/</t>
  </si>
  <si>
    <t>https://www.linkedin.com/company/first-check-ventures</t>
  </si>
  <si>
    <t>info@firstcheckventures.com</t>
  </si>
  <si>
    <t>First Check Ventures is a venture capital firm investing in early-stage startups globally. Founded in 2020, the firm has developed a rich network of global business partners and focuses on making early and transformational investments in companies with high potential. The dedicated team comprises seasoned investors seeking to partner with hard-working, visionary entrepreneurs.    The firm's investment strategy centers on seed and early-stage companies, particularly those with experienced entrepreneurs pursuing large ideas. First Check Ventures has a diverse portfolio spanning various industries, including technology, fintech, e-commerce, healthcare, and more. The firm has invested in companies across multiple countries, including the United States, Mexico, Brazil, Pakistan, Venezuela, India, Turkey, Vietnam, Africa, Canada, Latin America, and the Middle East and North Africa (MENA) region.    First Check Ventures is committed to supporting entrepreneurs in building successful companies by providing both capital and resources. The firm aims to create positive outcomes by partnering with visionary founders and helping them scale their businesses effectively. With a focus on early-stage investments, First Check Ventures continues to expand its global presence and impact in the startup ecosystem.</t>
  </si>
  <si>
    <t>Technology, Healthcare, Energy, Consumer Goods, Real Estate, Telecommunications, Education, Agriculture, FinTech, E-commerce, Logistics, Transportation, Manufacturing, Food &amp; Beverage, Media &amp; Entertainment</t>
  </si>
  <si>
    <t>United States, Canada, India, Brazil, Mexico, Turkey, Pakistan, Vietnam, MENA, Africa, Venezuela, LATAM</t>
  </si>
  <si>
    <t>Experienced entrepreneurs, Large market potential, Innovative business models, Scalable operations, Strong founding teams</t>
  </si>
  <si>
    <t>Tajir, MADE AND MODERN, CARUPI, YUMMY, BYTE, BOOMY, TUNED, Treinta, GIST, FLOURISH FI, GLYDE, PLERK, KREDI, OlaClick, Morada Uno, MONO, Sprout, GIMBOOKS, HIGEORGE, UDHAAR</t>
  </si>
  <si>
    <t>Accelerating Asia</t>
  </si>
  <si>
    <t>39 Ann Siang Rd, Singapore 069716</t>
  </si>
  <si>
    <t>https://www.acceleratingasia.com/</t>
  </si>
  <si>
    <t>team@acceleratingasia.com</t>
  </si>
  <si>
    <t>Accelerating Asia is a Singapore-based venture capital firm and accelerator program dedicated to supporting early-stage startups across Southeast and South Asia. The firm focuses on identifying high-potential founders who demonstrate significant traction and resilience, providing them with the capital, credibility, and hands-on partnership necessary to scale their businesses. Through its accelerator program, Accelerating Asia offers a structured pathway for startups to refine their business models, expand their market reach, and enhance their operational capabilities.    The firm's investment strategy encompasses a broad spectrum of industries, including technology, healthcare, financial services, consumer goods, education, agriculture, logistics, media, entertainment, retail, real estate, energy, transportation, telecommunications, and tourism. Accelerating Asia's portfolio reflects this diversity, with investments spanning various sectors that contribute to the dynamic economic landscape of the region. The firm is committed to fostering innovation and entrepreneurship by providing tailored support to startups at different stages of their growth journey.    With a strong emphasis on regional engagement, Accelerating Asia operates across multiple countries, including Singapore, Indonesia, Malaysia, Thailand, Vietnam, the Philippines, Myanmar, Cambodia, Laos, Brunei, Timor-Leste, Bangladesh, Sri Lanka, Pakistan, Nepal, the Maldives, Bhutan, Afghanistan, India, and China. This extensive geographical focus enables the firm to tap into a wide array of market opportunities and address the unique challenges faced by startups in diverse environments. By leveraging its deep understanding of the Asian market and its extensive network of partners and investors, Accelerating Asia continues to play a pivotal role in shaping the future of entrepreneurship in the region.</t>
  </si>
  <si>
    <t>Financial Services, Technology, Healthcare, Energy, Consumer Goods, Real Estate, Telecommunications, Media, Retail, Education, Agriculture, Logistics, Transportation, Entertainment, Tourism</t>
  </si>
  <si>
    <t>Singapore, China, India, Indonesia, Pakistan, Bangladesh, Vietnam, Malaysia, Afghanistan, Philippines, Thailand, Maldives, Sri Lanka, Nepal, Bhutan, Myanmar, Cambodia, Laos, Brunei, Timor-Leste</t>
  </si>
  <si>
    <t>Innovative business models, Scalable operations, Strong founding teams, Clear market demand, Potential for regional or global expansion</t>
  </si>
  <si>
    <t>Aunkur, ByteGenie, Electica, Foodrazor, Inovace Technologies, Payd, TB-AI, Thyaga, WORKINGNA</t>
  </si>
  <si>
    <t>Amand Ventures</t>
  </si>
  <si>
    <t>1 Marina Boulevard #20-00 One Marina Boulevard Singapore 018989</t>
  </si>
  <si>
    <t>https://amand.ventures/</t>
  </si>
  <si>
    <t>info@amand.ventures</t>
  </si>
  <si>
    <t>+65 6978 4040</t>
  </si>
  <si>
    <t>Amand Ventures is a permanent capital venture capital firm based in Singapore, established in 2016. The firm specializes in early-stage investments, partnering with innovative startups across various sectors, including technology, healthcare, e-commerce, and financial services. With a focus on the Southeast Asian market, Amand Ventures aims to support founders who are driving technological transformation in the region.    The firm's investment strategy emphasizes long-term capital deployment, allowing them to move early, stay close to their portfolio companies, and provide sustained support throughout the growth journey. Amand Ventures has a diverse portfolio, with investments spanning from seed to late-stage companies, and has been actively involved in over 50 startups since its inception.    Amand Ventures is committed to empowering entrepreneurs with unshakable convictions, offering not only financial backing but also strategic guidance and a deep regional network to help startups scale and succeed in the competitive Asian market.</t>
  </si>
  <si>
    <t>Japan, Singapore, China, India, Indonesia, South Korea, Pakistan, Bangladesh, Vietnam, Malaysia, Philippines, Thailand, Maldives, Sri Lanka, Nepal, Myanmar, Cambodia, Laos, Brunei, Timor-Leste</t>
  </si>
  <si>
    <t>Innovative business models, Scalable operations, Strong management teams, Clear path to profitability, Alignment with Amand Ventures' strategic focus areas</t>
  </si>
  <si>
    <t>CredShields, Paytm Mall, Quikr, B9 Beverages (Bira Beer), Studio Verandah, XYONE, National Stock Exchange, Manish Mehrotra Culinary Arts Pte Ltd. (MMCA), ONE MobiKwik Systems (MobiKwik), HDB, Religare Healthcare, Hero Fincorp, Bollant Industries, United Wind, Cipher Healthcare, Hit The Mark (Hopscotch.in), Nudge Foundation, Udayan Care, Indian School of Business, Vedica Scholars, Harvard Business School, UWC, CFS Amaya Foundation Singapore</t>
  </si>
  <si>
    <t>Dubai Cultiv8 Investments Limited</t>
  </si>
  <si>
    <t>Office 104, Level 1, Gate Village 11 (The Exchange Building) Dubai International Financial Center (DIFC), P.O.Box 66166 Dubai, UAE</t>
  </si>
  <si>
    <t>Dubai Cultiv8 Investments Limited is a Shariah-compliant private investment firm headquartered in Dubai, United Arab Emirates. Established in 2018, the firm specializes in asset management and venture capital, primarily targeting small and medium-sized enterprises (SMEs) in the technology, healthcare, education, and other high-potential sectors. Dubai Cultiv8 operates as a subsidiary of the Mohammed Bin Rashid Fund for SME (MBRF), aiming to be the UAE's leading public/private partnership specializing in the SME sector. The firm offers a range of services, including direct investment, co-management, and providing logistics to help businesses scale into international markets.    The firm's investment philosophy centers on active partnership and leadership, offering advisory services, and adhering to global business conduct standards. Dubai Cultiv8 has made notable investments, such as a multi-million dollar deal in Wahed Invest, a New York-based Shariah-compliant digital investment advisor, through its US$100 million Technology Fund. This investment aligns with Dubai Cultiv8's commitment to promoting financial inclusion and ethical investment opportunities. The firm's portfolio also includes investments in Udrive, a UAE-based pay-per-minute car rental service, and other growth-stage technology companies operating across various sub-sectors like FinTech, Blockchain, MedTech, IoT, AI, and e-commerce in the GCC and other emerging markets.    Regulated by the Dubai Financial Services Authority (DFSA), Dubai Cultiv8 holds an Islamic Endorsement, allowing it to conduct business as a fully Islamic financial institution. The firm's leadership includes CEO Arif Al Alawi, who emphasizes the importance of innovation and ethical investment practices in the firm's operations. Dubai Cultiv8's mission is to maximize stakeholder value by introducing high-quality investment products with attention to risk management, replicating successful models in the MENA region, and building expertise in investing and managing start-ups, growth-stage, and late-stage companies in Dubai and beyond.</t>
  </si>
  <si>
    <t>Ralicap Ventures</t>
  </si>
  <si>
    <t>San Francisco, United States</t>
  </si>
  <si>
    <t>https://rallycap.vc/</t>
  </si>
  <si>
    <t>info@ralicap.com</t>
  </si>
  <si>
    <t xml:space="preserve">Ralicap Ventures is a San Francisco-based venture capital firm that focuses on early-stage investments in financial services and technology sectors across Africa, Latin America, and South Asia. The firm primarily invests in B2B and API-first fintech companies at the pre-seed and seed stages, aiming to support the next generation of financial services in emerging markets.    The firm's investment strategy emphasizes sectors such as fintech, technology, and financial services, with a particular focus on markets like Nigeria, South Africa, Egypt, Brazil, Mexico, Pakistan, and Bangladesh. Ralicap Ventures typically invests between $200,000 and $500,000, often leading pre-seed deals and participating in seed rounds.    Ralicap Ventures has backed several startups, including RiseVest, Sudo, Cashi, and Kippa, contributing to the growth of innovative fintech solutions in emerging markets. The firm's approach combines a deep understanding of local markets with a global perspective, aiming to foster scalable and impactful financial services across its target regions.    </t>
  </si>
  <si>
    <t>Financial Services, Technology, FinTech</t>
  </si>
  <si>
    <t>Brazil, Mexico, Egypt, Pakistan, Bangladesh, South Africa, Nigeria</t>
  </si>
  <si>
    <t>B2B fintech focus, Pre-seed and seed stages, Emerging markets emphasis</t>
  </si>
  <si>
    <t>RiseVest, Sudo, Cashi, Kippa</t>
  </si>
  <si>
    <t>Hub71</t>
  </si>
  <si>
    <t>Al Khatem Tower, 15th Floor, ADGM Square, Al Maryah Island, Abu Dhabi</t>
  </si>
  <si>
    <t>https://www.hub71.com/</t>
  </si>
  <si>
    <t>https://www.linkedin.com/company/hub71ad/</t>
  </si>
  <si>
    <t>info@hub71.com</t>
  </si>
  <si>
    <t>+971 2 632 4123</t>
  </si>
  <si>
    <t xml:space="preserve">Hub71 is a global tech ecosystem based in Abu Dhabi, United Arab Emirates, established in 2019. It serves as a vibrant community for startups, investors, and business enablers, aiming to empower founders to build globally enduring tech companies. The ecosystem is strategically located in the Abu Dhabi Global Market (ADGM) on Al Maryah Island, providing a conducive environment for innovation and growth. Backed by the Abu Dhabi Department of Economic Development and Mubadala Investment Company, Hub71 offers a range of programs and incentives to support startups at various stages of development.    The ecosystem connects high-growth startups with investors, industry-leading corporations, government partners, and enablers, facilitating access to capital, commercial opportunities, and a network of partners. Hub71's programs, such as the Access Program, provide startups with in-kind and cash incentives, mentorship, and a route into the UAE capital's marketplace. Additionally, specialized ecosystems like Hub71+ Digital Assets, Hub71+ ClimateTech, and Hub71+ AI cater to startups in specific sectors, offering tailored support packages and access to Abu Dhabi's marketplace.    As of June 2023, Hub71 has grown to encompass over 260 startups spanning 24 sectors. The ecosystem has attracted a diverse range of startups, including those in fintech, healthtech, cleantech, and more. Through strategic partnerships and a supportive environment, Hub71 continues to contribute to the development of a resilient and diversified economy, positioning Abu Dhabi as a leading global tech hub.    </t>
  </si>
  <si>
    <t>Technology, Healthcare, Energy, Real Estate, Media, Education, Agriculture, EdTech, FinTech, E-commerce, Logistics, Artificial Intelligence, Blockchain, Entertainment, Cybersecurity</t>
  </si>
  <si>
    <t>United States, United Kingdom, Germany, Japan, Australia, Singapore, China, India, France, United Arab Emirates, South Korea, Saudi Arabia, Qatar, Kuwait, Oman, Egypt, Lebanon, Bahrain, Turkey, Pakistan, Jordan</t>
  </si>
  <si>
    <t>Innovative technology solutions, Scalable business models, Strong founding teams, Alignment with Hub71's strategic goals</t>
  </si>
  <si>
    <t>Alma Health, BioSapien, DarDoc, Dawsat, Doctoori Connect, DoctorsAE, DOK32, Fit On Click, Ovasave, Proteinea, ProvenMed, Takalam, Tawazon, Toothpick, Wainsk, Your Social Smile</t>
  </si>
  <si>
    <t>Krungsri Finnovate Co., Ltd.</t>
  </si>
  <si>
    <t>Krungsri Ploenchit Tower, 550 Ploenchit Road, Lumphini, Pathumwan, Bangkok 10330</t>
  </si>
  <si>
    <t>Bangkok</t>
  </si>
  <si>
    <t>TH</t>
  </si>
  <si>
    <t>https://www.krungsrifinnovate.com</t>
  </si>
  <si>
    <t>https://www.linkedin.com/company/krungsri-finnovate</t>
  </si>
  <si>
    <t>finnovate@krungsri.com</t>
  </si>
  <si>
    <t>02 296 4023</t>
  </si>
  <si>
    <t xml:space="preserve">Krungsri Finnovate Co., Ltd. is the corporate venture capital arm of Krungsri Bank, dedicated to fostering innovation in the financial sector by investing in fintech and banking-related technology startups across Southeast Asia. Established with an initial venture capital fund of USD 30 million over three years, the firm aims to support the growth of startups that can integrate innovative financial solutions into Krungsri's products and services, enhancing customer experience and driving digital transformation.  The company's investment strategy encompasses a range of stages, from Series A to Pre-IPO, focusing on sectors such as e-commerce, logistics, digital payments, blockchain, lending, insurtech, artificial intelligence, machine learning, and cybersecurity. By collaborating with Krungsri's business units, Krungsri Finnovate seeks to create synergies that promote sustainable growth for startups and contribute to the development of a robust startup ecosystem in the region.  Over the past five years, Krungsri Finnovate has made 20 investments, including 18 direct investments and two fund-of-funds investments. These efforts have facilitated collaboration among Krungsri's business units and over 70 startups, resulting in more than 120 successful project completions. The firm's commitment to supporting the startup ecosystem has been recognized with awards such as the Best Venture Capital Firm for Startups Thailand 2023 and the Prime Minister Award 2022: Investor of the Year, underscoring its role as a strategic investor in the fintech and banking technology sectors.  </t>
  </si>
  <si>
    <t>Series A, Series B, Growth, Late Stage, Pre-IPO</t>
  </si>
  <si>
    <t>Financial Services, Technology, E-commerce, Logistics, Artificial Intelligence, Blockchain, InsurTech, Cybersecurity, Machine Learning, Supply Chain, Lending, Digital Payments, Business Management, Personal Management, Cross Border Remittance</t>
  </si>
  <si>
    <t>Startups with strategic connections to Krungsri's business units, Technologies of interest include e-commerce, logistics, digital payments, blockchain, lending, insurtech, artificial intelligence, machine learning, and cybersecurity, Investment stages from Series A onwards</t>
  </si>
  <si>
    <t>Finnomena, Flash Express, Doppio Tech, fileAI</t>
  </si>
  <si>
    <t>TMT Ventures PVT. LTD.</t>
  </si>
  <si>
    <t>5th Floor, Trade Center, I.I Chundrigar Road, Karachi-74200, Pakistan</t>
  </si>
  <si>
    <t>https://www.tmtventures.net/</t>
  </si>
  <si>
    <t>info@tmtventures.net</t>
  </si>
  <si>
    <t>+92-21-35302970</t>
  </si>
  <si>
    <t>Established in 2002, TMT Ventures PVT. LTD. is a leading venture capital firm in Pakistan, specializing in early-stage investments in the technology, media, and telecom sectors. The firm has been instrumental in nurturing startups, providing not only capital but also strategic guidance to foster growth and innovation.    TMT Ventures focuses on building long-term relationships with founders, offering support and resources necessary for portfolio companies to succeed. They are particularly interested in startups working on cutting-edge technologies, disruptive business models, and those with a focus on climate and ESG initiatives. The firm is open to hearing from founders across various industries and verticals.    Over the years, TMT Ventures has played a pivotal role in the development of Pakistan's startup ecosystem, contributing to the growth of numerous successful ventures. Their commitment to innovation and entrepreneurship continues to drive the firm's mission of creating value for all industry stakeholders.</t>
  </si>
  <si>
    <t>Technology, Media, Telecom</t>
  </si>
  <si>
    <t>Innovative business models, Scalable growth potential, Strong management teams, Focus on technology, media, or telecom sectors, Commitment to sustainability and ESG principles</t>
  </si>
  <si>
    <t>800-Battery, HarKaam, Y-Evolve, 2B Technologies</t>
  </si>
  <si>
    <t>Fikrah Ventures</t>
  </si>
  <si>
    <t>The Business Quarter - Villa Q2-10, 8217 Salman Al Farsi Street, Al Khalidiya South District, Dammam City 32221</t>
  </si>
  <si>
    <t>https://fikrah.vc/</t>
  </si>
  <si>
    <t>https://www.linkedin.com/company/fikrahvb</t>
  </si>
  <si>
    <t>info@fikrah.vc</t>
  </si>
  <si>
    <t>+96613 8136100</t>
  </si>
  <si>
    <t>Fikrah Ventures is a premier venture builder in Saudi Arabia, dedicated to transforming visionary ideas into thriving ventures that drive economic progress and reshape industries. By providing tailored resources, mentorship, and funding, Fikrah empowers founders to realize their full potential and foster sustainable growth across the region. Their comprehensive services encompass initial concept development, strategic market insights, branding, funding, and go-to-market strategies, ensuring that startups are equipped to lead in today's dynamic landscape.    Strategically targeting investments across diverse sectors, Fikrah Ventures recognizes the potential for innovation and growth in areas such as technology, healthcare, real estate, financial services, consumer goods, logistics, entertainment, tourism, food and beverages, hospitality, artificial intelligence, software as a service, fintech, edtech, and proptech. Their investment approach spans various stages, including seed, early stage, series A, series B, growth, and late stage, enabling them to support startups at different points in their development journey.    With a strong commitment to supporting Saudi Arabia's Vision 2030, Fikrah Ventures aims to build a future where entrepreneurs have access to the mentorship, capital, and industry expertise needed to reshape industries and drive sustainable progress. Their focus on sectors that push the boundaries of innovation and address today's biggest challenges underscores their dedication to creating impactful solutions that improve lives and shape the future. By partnering with pioneering startups, Fikrah Ventures is building ventures that advance technology, transform industries, and foster sustainable progress.</t>
  </si>
  <si>
    <t>Financial Services, Technology, Healthcare, Consumer Goods, Real Estate, EdTech, FinTech, Logistics, Artificial Intelligence, Hospitality, Entertainment, Proptech, Software as a Service, Tourism, Food and Beverages</t>
  </si>
  <si>
    <t>Innovative business models, Scalable operations, Strong management teams, Alignment with Vision 2030 objectives</t>
  </si>
  <si>
    <t>Modrek, Stellar Hunters, Suhail</t>
  </si>
  <si>
    <t>Granite Asia</t>
  </si>
  <si>
    <t>Guoco Midtown, 128 Beach Road #21-02, Singapore 189773</t>
  </si>
  <si>
    <t>https://www.graniteasia.com/</t>
  </si>
  <si>
    <t>contact@graniteasia.com</t>
  </si>
  <si>
    <t>+65 6721 7128</t>
  </si>
  <si>
    <t>Granite Asia is a premier multi-asset investment platform headquartered in Singapore, focusing on driving purposeful growth across the Asia-Pacific region. Established in March 2024 following the strategic split of GGV Capital, Granite Asia carries forward over two decades of venture capital and private equity legacy. With $5 billion in assets under management, the firm has supported 48 unicorn companies and facilitated 29 IPOs.    The firm targets high-impact sectors including Consumer Growth &amp; Transformation, Enterprise Workflow &amp; Supply Chain, Food Systems &amp; Sustainability, Health Innovation &amp; Wellness, and Energy Transition. Granite Asia provides flexible capital solutions—ranging from equity to hybrid capital—to support companies at various growth stages. Its notable initiatives include a partnership with the Indonesia Investment Authority to deploy $1.2 billion in digital transformation investments.    Led by seasoned investors Jenny Lee and Jixun Foo, Granite Asia combines deep regional insight with a strong network to nurture high-potential ventures. With a focus on innovation and sustainable development, the firm is actively expanding its influence across Southeast Asia, China, India, Japan, and Australia, shaping the next wave of growth in the region.</t>
  </si>
  <si>
    <t>Early Stage, Growth, Late Stage, Seed, Series A, Series B, Pre-IPO, Buyout, Turnaround, Distressed</t>
  </si>
  <si>
    <t>Venture Capital, Private Equity, Private Credit</t>
  </si>
  <si>
    <t>Financial Services, Technology, Healthcare, Energy, Consumer Goods, Real Estate, Telecommunications, Retail, Education, Agriculture, Consumer, Logistics, Transportation, Manufacturing, Tourism, Media and Entertainment, Enterprise Software, Energy Transition, Health Innovation, Consumer Growth &amp; Transformation, Enterprise Workflow &amp; Supply Chain, Food Systems &amp; Sustainability, Health Innovation &amp; Wellness, Energy Transition &amp; Automation, Food Systems</t>
  </si>
  <si>
    <t>Japan, Australia, Singapore, China, India, Indonesia, South Korea, Pakistan, Bangladesh, Vietnam, Malaysia, Afghanistan, Philippines, Southeast Asia, Thailand, Maldives, Sri Lanka, Nepal, Bhutan, Myanmar, Laos</t>
  </si>
  <si>
    <t>High-impact sectors, Flexible capital solutions, Companies at various growth stages, Innovative technology solutions, Scalable business models, Strong management teams, Clear path to profitability, Alignment with regional market needs, Various growth stages</t>
  </si>
  <si>
    <t>Sea Group, Grab, Gojek, Tokopedia, Bukalapak, OYO Rooms, Zalora, Carousell, Razer, PatSnap, Shopback, RedDoorz, Klook, Lazada, Traveloka, Gogoro, Ninja Van, Carro, Kata.ai, VGI Global Media</t>
  </si>
  <si>
    <t>Roselake Ventures</t>
  </si>
  <si>
    <t>Wan Chai, Hong Kong</t>
  </si>
  <si>
    <t>https://www.roselake.vc</t>
  </si>
  <si>
    <t>https://www.linkedin.com/company/roselake-ventures</t>
  </si>
  <si>
    <t>us@roselake.vc</t>
  </si>
  <si>
    <t xml:space="preserve">Roselake Ventures is a venture capital firm investing in early-stage tech companies across Africa and other emerging markets. The firm empowers its portfolio of founders with a combination of capital, operating expertise, and networks. Since its inception in 2021, Roselake Ventures has been committed to bridging the gap between China and emerging markets like Africa through storytelling, research, and active engagement. Over the years, the firm has published numerous articles introducing Africa’s dynamic startup and tech ecosystem to Chinese investors, founders, and professionals. Additionally, Roselake Ventures organizes and participates in cross-border events, bringing Chinese founders and investors to Africa, and supporting African and other emerging markets' founders and investors to visit China, thereby reducing the information asymmetry between the two ecosystems. The firm's investment strategy is sector agnostic but keenly interested in fintech, web3, logistics, and healthtech companies solving for large markets. Roselake Ventures invests in pre-seed and seed rounds, with first checks ranging from $10k to $150k, typically in the form of a SAFE with less than a $20M post-money valuation. The firm focuses on companies that have a minimum viable product (MVP) and founders working full-time on the business. Roselake Ventures has a diverse portfolio, including investments in companies such as T40 Technologies, a Lagos-based inter-city transportation and logistics tech startup, which raised pre-seed funding led by Roselake Ventures. The firm's team comprises experienced professionals, including General Partners Jerry Yang and Lingxiu Zhang, and Founding Partner Jeff Yuan. Roselake Ventures is headquartered in Wan Chai, Hong Kong, and operates with a team size of 1-10 employees. The firm is privately held and was founded in October 2021. Its investment focus spans various industries, including fintech, web3, logistics, healthtech, digital commerce, climate tech, SaaS, supply chain, transportation, and agriculture, across multiple countries in Africa, Asia, and other emerging markets. The firm's investment stages range from pre-seed to series B, with a minimum check size of $10,000 and a maximum of $150,000. Roselake Ventures is committed to supporting early-stage tech startups in emerging markets, providing them with the necessary resources and expertise to scale and succeed in their respective industries.    </t>
  </si>
  <si>
    <t>Pre-Seed, Seed, Series A, Series B</t>
  </si>
  <si>
    <t>Agriculture, HealthTech, FinTech, Logistics, SaaS, Transportation, Web3, Supply Chain, Climate Tech, Digital Commerce</t>
  </si>
  <si>
    <t>United States, Ghana, Kenya, Egypt, Tunisia, Morocco, Algeria, Turkey, Pakistan, Bangladesh, South Africa, Ethiopia, Nigeria, Rwanda, Uganda, Tanzania, Cameroon, Senegal, Angola, Togo</t>
  </si>
  <si>
    <t>Companies based in Africa or Asia, Pre-seed and seed rounds, MVP with founders working full-time</t>
  </si>
  <si>
    <t>T40 Technologies</t>
  </si>
  <si>
    <t>Brick &amp; Mortar Ventures</t>
  </si>
  <si>
    <t>430 Pacific Avenue, San Francisco, CA 94133</t>
  </si>
  <si>
    <t>https://brickmortar.vc</t>
  </si>
  <si>
    <t>https://www.linkedin.com/company/brickmortarvc</t>
  </si>
  <si>
    <t>info@brickmortar.vc</t>
  </si>
  <si>
    <t>415.483.7353</t>
  </si>
  <si>
    <t xml:space="preserve">Brick &amp; Mortar Ventures is a venture capital firm dedicated to investing in early-stage companies that are revolutionizing the construction industry through innovative technology solutions. Their mission is to identify, invest in, and support emerging companies worldwide that develop software and hardware solutions for architecture, engineering, construction, and facilities management sectors. By focusing exclusively on 'technology for the built world,' they aim to drive efficiency gains, increase productivity, and improve safety conditions within these industries.    The firm's investment strategy encompasses a wide range of technological innovations, from cloud-based design collaboration tools and task management software to workforce telematics, asset tracking, exoskeletons, autonomous equipment, and reality capture technologies. They seek opportunities that span from incremental improvements to existing workflows to radically disruptive new processes, all with the goal of transforming how the built environment is designed, constructed, and maintained.    With a hands-on, active role as an investor and partner, Brick &amp; Mortar Ventures leverages its deep industry expertise and relationships to add value to its portfolio companies. Their approach is to continuously develop industry knowledge and foster collaborations that enable their investees to disrupt one of the largest sectors of the global economy.    </t>
  </si>
  <si>
    <t>Construction, Proptech, Architecture, Engineering, Facilities Management</t>
  </si>
  <si>
    <t>United States, United Kingdom, Canada, India, France, Pakistan</t>
  </si>
  <si>
    <t>Innovative technology solutions for the construction industry, Early-stage companies with scalable business models, Strong founding teams with industry expertise</t>
  </si>
  <si>
    <t>Procore Technologies, Katerra, OpenSpace, Rhumbix, Fieldwire</t>
  </si>
  <si>
    <t>Taurus Ventures</t>
  </si>
  <si>
    <t>https://www.taurus.vc</t>
  </si>
  <si>
    <t>info@taurus.vc</t>
  </si>
  <si>
    <t>Taurus Ventures is a venture capital firm that invests in early-stage technology companies across the United States and Southeast Asia. The firm focuses on technology-enabled businesses, providing capital and support to innovative startups in these regions. Taurus Ventures aims to foster growth and development in the technology landscape, contributing to the broader entrepreneurial ecosystem.    The firm's investment strategy includes providing seed and Series A funding, with typical investment sizes ranging from $1 million to $20 million. Taurus Ventures has a diverse portfolio, with investments in various sectors such as FinTech, Health Tech, Blockchain, Web3, Artificial Intelligence, E-commerce, EdTech, AgriTech, Media, Entertainment, Logistics, and Supply Chain. The firm is committed to supporting companies that have the potential to make a significant impact in their respective industries.    Taurus Ventures is headquartered in San Francisco, California, and operates in multiple countries across Southeast Asia, including Indonesia, Singapore, Vietnam, Thailand, Malaysia, the Philippines, Myanmar, Laos, Cambodia, Brunei, Timor-Leste, South Korea, Japan, China, India, Pakistan, Bangladesh, Nepal, Sri Lanka, and the Maldives. The firm's team comprises experienced professionals dedicated to identifying and nurturing high-potential startups, helping them scale and succeed in the competitive global market.</t>
  </si>
  <si>
    <t>Seed, Series A</t>
  </si>
  <si>
    <t>Technology, Media, Software, Consumer, EdTech, FinTech, E-commerce, Logistics, Artificial Intelligence, Blockchain, AgriTech, Entertainment, Web3, Supply Chain, Health Tech</t>
  </si>
  <si>
    <t>United States, Japan, Singapore, China, India, Indonesia, South Korea, Pakistan, Bangladesh, Vietnam, Malaysia, Philippines, Thailand, Maldives, Sri Lanka, Nepal, Myanmar, Cambodia, Laos, Brunei, Timor-Leste</t>
  </si>
  <si>
    <t>Innovative technology solutions, Scalable business models, Strong founding teams, Clear market demand, Potential for significant impact</t>
  </si>
  <si>
    <t>Pankhuri, Tellie, Unsupervised, Momos, Lumen Orbit, Kaito, Driffle, Shipmates, WISE App, Magic Mind, Mother Raw, PowerCred, Vara</t>
  </si>
  <si>
    <t>Gobi Partners</t>
  </si>
  <si>
    <t>Level 10, Menara Ilham, No. 8, Jalan Binjai, Wilayah Persekutuan, Kuala Lumpur, 50450, Malaysia</t>
  </si>
  <si>
    <t>https://gobi.vc/</t>
  </si>
  <si>
    <t>mail@gobi.vc</t>
  </si>
  <si>
    <t>Gobi Partners is an Asian venture capital firm headquartered in Kuala Lumpur, Malaysia, and Hong Kong. Founded in 2002, the firm specializes in early-stage investments in technology and technology-enabled companies across emerging markets in Asia. With over US$1.6 billion in assets under management, Gobi Partners has invested in more than 400 companies across 16 locations in Asia.  The firm's investment strategy emphasizes innovation, inclusion, and impact, aiming to back bold entrepreneurs who are building startups that redefine industries. Gobi Partners focuses on sectors such as technology, consumer goods, financial services, industrial, leisure, education, healthcare, transport, media, telecommunications, e-commerce, fintech, edtech, healthtech, and proptech. The firm invests across various stages, including pre-seed, seed, early stage, series A, series B, growth, late stage, and pre-IPO.  Gobi Partners has a strong track record of supporting companies that have achieved significant milestones, including 75 exits and 62 companies in the circular economy sector. The firm's portfolio includes notable companies such as Animoca Brands, GOGOX, Prenetics, WeLab, Xingyun, and Airwallex. With a presence in multiple countries, Gobi Partners continues to play a pivotal role in fostering innovation and entrepreneurship across Asia.  Investment Requirements: Gobi Partners seeks to invest in early-stage technology and technology-enabled companies across emerging markets in Asia. The firm looks for entrepreneurs with bold ideas and a focus on innovation, inclusion, and impact. Investment sizes typically range from US$1 million to US$50 million, depending on the stage and nature of the investment.</t>
  </si>
  <si>
    <t>Seed, Early Stage, Growth, Pre-Seed, Series A, Series B, Late Stage, Pre-IPO</t>
  </si>
  <si>
    <t>Financial Services, Technology, Healthcare, Consumer Goods, Telecommunications, Media, Education, Agriculture, Industrial, HealthTech, EdTech, FinTech, E-commerce, Logistics, Artificial Intelligence, Blockchain, Proptech, Leisure, Transport, Circular Economy, Media and Entertainment, Smart Cities, Travel and Hospitality</t>
  </si>
  <si>
    <t>United States, United Kingdom, Germany, Hong Kong, Japan, Australia, Singapore, China, India, France, Indonesia, South Korea, Pakistan, Bangladesh, Vietnam, Mongolia, Malaysia, New Zealand, Philippines, Thailand, Sri Lanka, Nepal, Myanmar, Cambodia, Laos, Brunei</t>
  </si>
  <si>
    <t>Innovative business models, Scalable growth potential, Strong management teams, Alignment with Gobi's investment thesis</t>
  </si>
  <si>
    <t>Animoca Brands, GOGOX, Prenetics, WeLab, Xingyun, Airwallex, PanopticAI, Hing Cheng, Xingyun Group</t>
  </si>
  <si>
    <t>International Finance Corporation (IFC)</t>
  </si>
  <si>
    <t>https://www.linkedin.com/company/ifclinkedin</t>
  </si>
  <si>
    <t>ifc@worldbank.org</t>
  </si>
  <si>
    <t>+1 202-473-3800</t>
  </si>
  <si>
    <t>The International Finance Corporation (IFC), a member of the World Bank Group, is the largest global development institution dedicated to the private sector in emerging markets. Established in 1956, IFC operates in over 100 countries, leveraging its capital, expertise, and influence to create markets and opportunities in developing nations. In fiscal year 2025, IFC committed a record $71.7 billion to private companies and financial institutions in developing countries, aiming to end extreme poverty and boost shared prosperity.  IFC's investment strategy encompasses a wide range of asset classes, including venture capital and private equity, with a focus on various stages of company development, from seed to late-stage investments. The organization targets multiple industries, such as technology, healthcare, agriculture, financial services, infrastructure, energy, education, manufacturing, retail, telecommunications, transportation, real estate, media, consumer goods, and tourism. Geographically, IFC's investments span regions including the United States, Africa, East Asia and Pacific, Europe, Latin America and the Caribbean, Middle East and North Africa, South Asia, Sub-Saharan Africa, Central Asia, Pakistan, China, India, Indonesia, Brazil, Mexico, Nigeria, South Africa, Egypt, Turkey, Vietnam, and the Philippines.  IFC's mission is to leverage the power of the private sector for global good, transforming ideas into investments that promote green growth, inclusive jobs, and impactful projects. By providing investment, advisory, and asset-management services, IFC supports private-sector development in developing countries, aiming to improve living standards and mobilize financial resources for private enterprises. The organization is committed to accountability, diversity, equity, and inclusion, ensuring that its investments have a positive impact on communities and the environment.</t>
  </si>
  <si>
    <t>Financial Services, Technology, Healthcare, Energy, Consumer Goods, Real Estate, Infrastructure, Telecommunications, Media, Retail, Education, Agriculture, Transportation, Manufacturing, Tourism</t>
  </si>
  <si>
    <t>United States, Europe, China, India, Brazil, Mexico, Indonesia, Egypt, South Asia, Turkey, Pakistan, South Africa, Vietnam, Sub-Saharan Africa, Philippines, Nigeria, Africa, Middle East and North Africa, Central Asia, East Asia and Pacific, Latin America and the Caribbean</t>
  </si>
  <si>
    <t>Focus on developing countries, Alignment with IFC's mission to end extreme poverty and boost shared prosperity, Potential for significant development impact, Sustainable and inclusive business models, Strong management teams, Scalable and innovative solutions</t>
  </si>
  <si>
    <t>Twiga Foods, TradeDepot, Toters, Scatec, Iberdrola, Dragon Capital, Rebuild Ukraine Fund LP</t>
  </si>
  <si>
    <t>High Output Ventures</t>
  </si>
  <si>
    <t>3 Temasek Avenue, Centennial Tower #21-00, Singapore, Singapore 039190</t>
  </si>
  <si>
    <t>https://www.highoutput.io/</t>
  </si>
  <si>
    <t>https://www.linkedin.com/company/highoutput</t>
  </si>
  <si>
    <t>contact@highoutput.io</t>
  </si>
  <si>
    <t>High Output Ventures is a Singapore-based venture capital firm that invests in early-stage companies across various sectors. The firm partners with founders to create new products and services, providing companies the ability to validate their business models, offer operational support, and eventually scale their services. Founded in 2017, High Output Ventures is headquartered in Singapore and operates as a fully remote company with people across Asia.    The firm's investment focus includes sectors such as e-commerce, retail, robotics, manufacturing, lifestyle, fashion, sustainability, shoes, waste management, and baby products. High Output Ventures has made investments in companies located in Singapore, the United States, and Pakistan. The firm offers a seed investment of $50,000 to each company, aiming to provide short-term liquidity and assist in structuring finances for future funding rounds.    High Output Ventures also runs an accelerator program designed to help startups create momentum for scaling and sustainable growth. The program includes seed investment, strategy development, management systems implementation, customer discovery, product development, financial modeling, and legal advice. The firm's mission is to support entrepreneurs in building remarkable businesses by tapping into a wide network of domain experts and providing a better option for seeking investment.</t>
  </si>
  <si>
    <t>Retail, E-commerce, Manufacturing, Sustainability, Robotics, Fashion, Lifestyle, Waste Management, Shoes, Baby</t>
  </si>
  <si>
    <t>United States, Singapore, Pakistan</t>
  </si>
  <si>
    <t>Early-stage companies with scalable business models, Entrepreneurs seeking operational support and growth strategies, Startups in sectors such as e-commerce, retail, robotics, manufacturing, lifestyle, fashion, sustainability, shoes, waste management, and baby products</t>
  </si>
  <si>
    <t>Teal</t>
  </si>
  <si>
    <t>BTA Ventures</t>
  </si>
  <si>
    <t>Saigon, Vietnam</t>
  </si>
  <si>
    <t>VN</t>
  </si>
  <si>
    <t>https://asoothingliving.com</t>
  </si>
  <si>
    <t>https://www.linkedin.com/company/bta-ventures/</t>
  </si>
  <si>
    <t>info@btafeed.com</t>
  </si>
  <si>
    <t>BTA Ventures is a venture capital firm specializing in blockchain and cryptocurrency investments. The firm focuses on supporting innovative projects in the digital asset space, aiming to reshape the future of finance through strategic investments.    With a global investment approach, BTA Ventures targets early-stage to growth-stage companies across various sectors, including technology, healthcare, and financial services. The firm seeks to partner with visionary founders to drive transformative change in the blockchain and cryptocurrency industries.    BTA Ventures is committed to fostering innovation and supporting the development of decentralized technologies. By leveraging its expertise and network, the firm aims to accelerate the adoption of blockchain solutions and contribute to the evolution of the digital economy.</t>
  </si>
  <si>
    <t>Financial Services, Technology, Healthcare, Energy, Consumer Goods, Real Estate, Telecommunications, Media, Retail, Education, Agriculture, Logistics, Transportation, Manufacturing, Entertainment</t>
  </si>
  <si>
    <t>United States, Japan, Australia, Singapore, China, India, Indonesia, South Korea, Pakistan, Bangladesh, Vietnam, Malaysia, Philippines, Thailand, Maldives, Sri Lanka, Nepal, Myanmar, Cambodia, Laos</t>
  </si>
  <si>
    <t>Innovative blockchain or cryptocurrency projects, Strong founding teams with a clear vision, Scalable business models, Potential for significant market impact</t>
  </si>
  <si>
    <t>Ninety Eight</t>
  </si>
  <si>
    <t>ADB Ventures</t>
  </si>
  <si>
    <t>6 ADB Avenue, Mandaluyong City, Manila, 1550 Philippines</t>
  </si>
  <si>
    <t>Metro Manila</t>
  </si>
  <si>
    <t>PH</t>
  </si>
  <si>
    <t>https://ventures.adb.org/</t>
  </si>
  <si>
    <t>https://www.linkedin.com/company/adb-ventures</t>
  </si>
  <si>
    <t>ventures@adb.org</t>
  </si>
  <si>
    <t>ADB Ventures is the corporate venture capital arm of the Asian Development Bank (ADB), established to support early-stage technology startups with significant potential to scale and deliver climate impact across developing Asia. The organization focuses on backing bold technology startups that offer solutions transforming lives and impacting society, aiming to become a leading ImpactTech support platform in the region. Its vision includes mobilizing more than $1 billion in risk capital to foster sustainable development.  The investment strategy of ADB Ventures encompasses providing patient venture capital to early-stage technology companies with climate and impact-focused solutions. The organization offers initial investments of up to $4 million to startups with the potential to scale and create climate and development impact. Additionally, ADB Ventures provides SEED capital of up to $200,000 to de-risk earlier-stage companies and pilot high-impact innovations. The sectors of interest include agriculture, agriTech, clean technology, climateTech, green mobility, healthTech, FinTech, edTech, waterTech, energy, infrastructure, logistics, supply chain, manufacturing, retail, consumer goods, media, entertainment, telecommunications, and education.  ADB Ventures operates with a geographical focus on countries across Asia and the Pacific, including the Philippines, Indonesia, Vietnam, Bangladesh, India, Pakistan, Sri Lanka, Nepal, Afghanistan, Maldives, Bhutan, Myanmar, Cambodia, Laos, Mongolia, Timor-Leste, Papua New Guinea, Fiji, Solomon Islands, and Vanuatu. The organization aims to catalyze additional investment into the region’s most promising sustainable startups, leveraging the Asian Development Bank’s network and resources to maximize the startups’ growth and impact potential. Through these efforts, ADB Ventures seeks to address complex development challenges and contribute to the achievement of sustainable development goals in the region.</t>
  </si>
  <si>
    <t>Seed, Series A, Series B, Early Stage, Growth</t>
  </si>
  <si>
    <t>Energy, Consumer Goods, Infrastructure, Telecommunications, Media, Retail, Education, Agriculture, HealthTech, EdTech, FinTech, Logistics, Manufacturing, AgriTech, Entertainment, Sustainable Infrastructure, Mobility, ClimateTech, Supply Chain, Circular Economy, Clean Technology, Green Materials, Gender Equality, Green Mobility, Climate Adaptation, WaterTech, Climate Mitigation</t>
  </si>
  <si>
    <t>India, Indonesia, Pakistan, Bangladesh, Vietnam, Mongolia, Afghanistan, Philippines, Thailand, Maldives, Sri Lanka, Nepal, Bhutan, Myanmar, Cambodia, Laos, Papua New Guinea, Solomon Islands, Vanuatu, Timor-Leste, Fiji, Malaysian Borneo</t>
  </si>
  <si>
    <t>Technology solutions with significant potential to scale and deliver climate impact, Focus on sectors such as clean energy, sustainable mobility, sustainable agriculture, circular economy, green finance, and inclusive communities, Alignment with ADB's mission to promote social and economic development in Asia and the Pacific, Technology-driven solutions with potential for scalability and impact, Alignment with sustainable development goals, Focus on climate mitigation and adaptation, Early-stage companies seeking venture capital funding</t>
  </si>
  <si>
    <t>SatSure, Fairbanc, E Green Global, Nuventura, Skycatch, Smart Joules, Tiger New Energy, InnoCSR, Electrifi, Euler Motors, Packworks, Selex Motors, Chickin, Revfin, Ibisa, Wagely, Caidio, Nibertex, Humble Sustainability</t>
  </si>
  <si>
    <t>Iterative VC</t>
  </si>
  <si>
    <t>32 Pekin Street #05-01, Singapore</t>
  </si>
  <si>
    <t>https://www.iterative.vc/</t>
  </si>
  <si>
    <t>hello@iterative.vc</t>
  </si>
  <si>
    <t>Iterative VC is a Singapore-based venture capital firm that focuses on early-stage technology companies in Southeast Asia. The firm invests between US $150,000 and $500,000 in each startup, providing full funding upon admission. They operate a bi-annual accelerator program, offering a three-month cohort where founders receive mentorship and support to refine their ideas and prepare for subsequent funding rounds. The program culminates in a Demo Day, connecting startups with a network of investors.  The firm's investment strategy emphasizes hands-on collaboration with founders, leveraging the partners' extensive experience in building and scaling startups. They assist in product development, market validation, and fundraising efforts, aiming to equip startups with the necessary tools and knowledge to succeed in the competitive Southeast Asian market. Iterative VC's approach is tailored to the unique challenges and opportunities within the region, fostering a supportive community for founders.  With a track record of supporting numerous startups, Iterative VC has established itself as a key player in the Southeast Asian venture capital landscape. Their commitment to founder success and regional growth underscores their dedication to nurturing the next generation of technology leaders in the region.</t>
  </si>
  <si>
    <t>Technology, Energy, Consumer Goods, Media, Software, Agriculture, HealthTech, EdTech, FinTech, E-commerce, Logistics, Artificial Intelligence, Blockchain, Gaming, Entertainment</t>
  </si>
  <si>
    <t>Singapore, Indonesia, Pakistan, Bangladesh, Vietnam, Mongolia, Malaysia, Afghanistan, Philippines, Thailand, Maldives, Sri Lanka, Nepal, Bhutan, Myanmar, Cambodia, Laos, Papua New Guinea, Brunei, Timor-Leste</t>
  </si>
  <si>
    <t>Innovative technology solutions, Scalable business models, Strong founding teams with regional market understanding, Commitment to growth and expansion within Southeast Asia</t>
  </si>
  <si>
    <t>Coderschool, String Soul, Go Zayaan, Ferne Health, 1Export</t>
  </si>
  <si>
    <t>Jedar Capital</t>
  </si>
  <si>
    <t>New York, New York</t>
  </si>
  <si>
    <t>https://www.jedarcapital.co/</t>
  </si>
  <si>
    <t>https://www.linkedin.com/company/jedar-capital/</t>
  </si>
  <si>
    <t>hello@jedarcapital.com</t>
  </si>
  <si>
    <t>Jedar Capital is an emerging venture capital firm investing in early-stage startups across various sectors in emerging markets.    Founded by a technology veteran, the firm focuses on post-revenue startups from Seed to Series A stages, targeting companies that have achieved product-market fit and demonstrate consistent month-over-month growth. Jedar Capital primarily invests in the Middle East, Africa, and parts of Emerging Asia, with a particular emphasis on sectors such as fintech, insurtech, healthtech, foodtech, B2B SaaS, retail/e-commerce, logistics &amp; supply chain, and marketplaces.    The firm's investment strategy is to support impactful sectors that offer inclusion to underserved and emerging markets, tapping into the next billion customers. Jedar Capital is industry agnostic, provided they understand the business model, and they are particularly interested in startups that are building solutions around digital trade, logistics, supply chain, trade-enabling infrastructure, B2B financial services, SME enabling platforms, and B2B SaaS.    Jedar Capital has a global presence with offices in New York, Cairo, and Dubai. They are always looking for the next big idea and encourage founders and other investors to get in touch to discuss potential opportunities. The firm ensures they respond to every email they receive, reflecting their commitment to fostering innovation and supporting entrepreneurs in emerging markets.</t>
  </si>
  <si>
    <t>HealthTech, FoodTech, FinTech, InsurTech, Marketplaces, B2B SaaS, Logistics &amp; Supply Chain, Retail/e-commerce</t>
  </si>
  <si>
    <t>United States, United Arab Emirates, Egypt, Pakistan, South Africa</t>
  </si>
  <si>
    <t>Post-revenue, Seed to Series A stage, Product-market fit, Demonstrated month-over-month growth, Operating in Middle East, Africa, or parts of Emerging Asia, Focus on sectors such as fintech, insurtech, healthtech, foodtech, B2B SaaS, retail/e-commerce, logistics &amp; supply chain, and marketplaces</t>
  </si>
  <si>
    <t>Fincart, Paismo HR</t>
  </si>
  <si>
    <t>MEXC Global</t>
  </si>
  <si>
    <t>Victoria, Seychelles</t>
  </si>
  <si>
    <t>SC</t>
  </si>
  <si>
    <t>https://www.mexc.com</t>
  </si>
  <si>
    <t>https://www.linkedin.com/company/mexc-global</t>
  </si>
  <si>
    <t>service@mexc.com</t>
  </si>
  <si>
    <t>MEXC Global is a cryptocurrency exchange platform that provides users with a comprehensive suite of digital asset trading services, including spot, margin, and futures trading, as well as PoS staking. The platform supports over 3,000 tokens, catering to a diverse range of trading preferences. MEXC Global has established a significant presence in the cryptocurrency market, serving over 30 million users across more than 170 countries and regions. The exchange is known for its user-friendly interface, competitive trading fees, and a variety of trading options, making it accessible to both novice and experienced traders.    In addition to its core trading services, MEXC Global has been actively expanding its offerings to enhance user experience and engagement. The platform has introduced various initiatives, such as daily airdrop events, launchpool, and Kickstarter programs, to provide users with opportunities to earn rewards and participate in new token listings. MEXC Global has also been involved in strategic partnerships, including joining the Ondo Global Markets Alliance and listing tokenized stocks, aiming to broaden its product offerings and provide users with more diversified investment options.    MEXC Global's commitment to security is evident through its collaboration with top-tier security firms to safeguard user assets. The platform has implemented measures like a $100 million Guardian Fund and a Futures Insurance Fund to protect users against market extremes. Despite facing regulatory challenges in certain jurisdictions, MEXC Global continues to focus on compliance and user protection, striving to maintain its position as a leading cryptocurrency exchange in the global market.</t>
  </si>
  <si>
    <t>Financial Services, Technology, Asset Management, FinTech, Cryptocurrency, Blockchain, Digital Assets, Financial Technology, Investment, Digital Currency, Financial Markets, Investment Platforms, Trading Platforms, Digital Trading, Financial Trading</t>
  </si>
  <si>
    <t>United States, United Kingdom, Canada, Japan, Australia, Singapore, India, Brazil, Indonesia, South Korea, Turkey, Pakistan, Netherlands, Vietnam, Malaysia, Philippines, Nigeria, Taiwan, Africa, Mainland China</t>
  </si>
  <si>
    <t>Regulatory Compliance, Security Measures, User Protection, Global Expansion, Diversified Investment Options, User Engagement, Strategic Partnerships, Product Innovation, Market Adaptation, Financial Stability, Technological Advancement, Compliance with Local Laws, Transparency, Customer Support, Risk Management</t>
  </si>
  <si>
    <t>Ondo Finance, Ondo Global Markets, Simplex, Banxa</t>
  </si>
  <si>
    <t>Susquehanna Asia Venture Capital</t>
  </si>
  <si>
    <t>1 Wallich Street, #26-02 Guoco Tower, Singapore 078881</t>
  </si>
  <si>
    <t>https://www.sig-asiavc.com</t>
  </si>
  <si>
    <t>hcma.info@sig.com</t>
  </si>
  <si>
    <t>+852 3575 5240</t>
  </si>
  <si>
    <t>Susquehanna Asia Venture Capital is a prominent venture capital firm specializing in investments across Asia, particularly in the technology and internet sectors. As the Southeast Asian and Indian venture capital arm of Susquehanna International Group, a global proprietary trading and investment firm founded in 1987, they leverage flexible and patient capital to support high-growth companies in the region. Their portfolio includes over 350 companies, with more than 70 IPOs and M&amp;As over the past 18 years, featuring notable names such as Bytedance, Kumu, Wakefit, Inshorts, Lentra, Mobile Premier League, Musical.ly, PayMaya, and RedDoorz.    The firm's investment strategy is characterized by a focus on high-growth firms across sectors including biotech, healthcare, technology, financial services, media, energy services, and natural resources. They provide flexible and permanent capital, allowing them to invest without the constraints of sunset dates or fundraising pressures. This approach enables them to back management teams they believe in, offering broad and innovative support to their investees.    With offices in Hong Kong and Singapore, Susquehanna Asia Venture Capital has a significant presence in the Asia-Pacific region. They have made hundreds of equity and equity-linked investments in some of the world's leading companies, demonstrating a strong commitment to fostering innovation and growth in the Asian market.</t>
  </si>
  <si>
    <t>Seed, Early Stage, Growth, Late Stage, Pre-IPO</t>
  </si>
  <si>
    <t>Financial Services, Technology, Healthcare, Media, Biotech, Internet, Natural Resources, Energy Services</t>
  </si>
  <si>
    <t>Hong Kong, Japan, Australia, Singapore, China, India, Indonesia, South Korea, Pakistan, Bangladesh, Vietnam, Mongolia, Malaysia, Philippines, Thailand, Sri Lanka, Nepal, Myanmar, Cambodia, Laos, Brunei</t>
  </si>
  <si>
    <t>High-growth companies in technology and internet sectors across Asia</t>
  </si>
  <si>
    <t>ByteDance, Kumu, Wakefit, Inshorts, Lentra, Mobile Premier League, musical.ly, PayMaya, RedDoorz</t>
  </si>
  <si>
    <t>The Osiris Group</t>
  </si>
  <si>
    <t>Road 11, Block G, Building No. 5, Banani, Dhaka 1213</t>
  </si>
  <si>
    <t>https://www.theosirisgroup.com/</t>
  </si>
  <si>
    <t>info@theosirisgroup.com</t>
  </si>
  <si>
    <t>+852 9620 8031</t>
  </si>
  <si>
    <t>The Osiris Group is a private equity firm dedicated to advancing long-term development that benefits communities and future generations. They partner with global operators, investors, and reputable local operators to finance and build systems of the future, focusing on sectors such as technology, digital infrastructure, and climate resilience. Their investment approach is guided by long-term partnerships, hands-on support, and a deep conviction in the transformative potential of the businesses they back.    Their investment strategy involves deploying patient, strategic capital to support visionary teams driving the next wave of innovation and impact. They focus on next-generation sectors—technology, digital infrastructure, and climate resilience—that are critical to meeting the evolving needs of society and the economy. By aligning capital with purpose, they unlock sustainable growth and enduring value creation across markets and cycles.    The Osiris Group combines global insight with deep local expertise to invest in businesses across diverse markets and sectors. From high-growth ventures to established market leaders, they understand the evolving needs of each stage of the business lifecycle and tailor their investment strategies to create lasting value. Their team brings decades of experience partnering with financial sponsors, private equity firms, development finance institutions, and entrepreneurial founders, making them a trusted long-term partner for growth, transformation, and impact.</t>
  </si>
  <si>
    <t>Technology, Healthcare, Energy, Real Estate, Telecommunications, Media, Retail, Education, Renewable Energy, FinTech, Logistics, Transportation, Hospitality, Manufacturing, Information Technology, Digital Infrastructure, Internet Services, Consumer Tech, Climate Resilience, Digital Supply Chain, Agritech SaaS</t>
  </si>
  <si>
    <t>China, India, Indonesia, Pakistan, Bangladesh, Vietnam, Mongolia, Malaysia, Afghanistan, Philippines, Thailand, Maldives, Sri Lanka, Nepal, Bhutan, Myanmar, Cambodia, Laos, Brunei, Timor-Leste</t>
  </si>
  <si>
    <t>Strong management team, Scalable business model, Clear path to profitability, Alignment with The Osiris Group's investment strategy</t>
  </si>
  <si>
    <t>GoZayaan, Bikroy, Pathao, Sheba.xyz, Chaldal, Aamra Networks, Aamra Technologies, Aamra Infotech, Aamra Resources, Aamra Apparel, Aamra Properties, Aamra Communications, Aamra Capital, Aamra Ventures, Aamra Holdings, Aamra Group, Aamra Bangladesh, Aamra International, Aamra Foundation, Aamra Education</t>
  </si>
  <si>
    <t>sAi Venture Capital</t>
  </si>
  <si>
    <t>Lahore, Punjab, 54840, Pakistan</t>
  </si>
  <si>
    <t>https://saiventurecap.com/</t>
  </si>
  <si>
    <t>contact@saiventurecap.com</t>
  </si>
  <si>
    <t>sAi Venture Capital is a growth equity firm focused on frontier technologies targeting large global enterprise clients undergoing transformation at scale. The firm identifies and supports pioneers poised to revolutionize industries, providing capital and strategic guidance to fill the missing piece in their growth puzzle. Their approach emphasizes innovation and long-term impact, fostering growth from inception to scale.    The firm's name, sAi, is inspired by the historic town of Juglot, situated at the crossroads of the Karakoram, the Hindu Kush, and the Himalayas. This symbolizes the discovery, refinement, and strengthening of exceptional ventures. sAi Venture Capital plays a pivotal role in shaping the future of groundbreaking enterprises by leveraging its industry insights and extensive network.    Founded in 2022, sAi Venture Capital is headquartered in Lahore, Punjab, Pakistan. The firm has made investments in companies that provide services to enterprises in developed markets, as well as startups focusing on sectors like health, agriculture, and education. In November 2023, sAi Venture Capital launched Pakistan's first local currency venture capital fund, aiming to raise $10 million primarily from local investors to boost the country's tech sector and support startups. The fund is currently 40% committed and has received approval from the Securities and Exchange Commission of Pakistan (SECP).</t>
  </si>
  <si>
    <t>Technology, Healthcare, Education, Agriculture</t>
  </si>
  <si>
    <t>High growth potential, Technology-driven innovation, Scalable business models</t>
  </si>
  <si>
    <t>Truckistan</t>
  </si>
  <si>
    <t>FIRSTLIGHT Capital</t>
  </si>
  <si>
    <t>35F Atago Green Hills MORI Tower, 2-5-1 Atago, Minato-ku, Tokyo 105-6235</t>
  </si>
  <si>
    <t>https://firstlight-cap.com/en/</t>
  </si>
  <si>
    <t>flc_corp@firstlight-cap.com</t>
  </si>
  <si>
    <t>+81 3-1234-5678</t>
  </si>
  <si>
    <t>FIRSTLIGHT Capital is a venture capital firm dedicated to fostering innovation in Japan's depopulating society. The firm primarily invests in seed to series-A stage startups operating in sectors such as SaaS, AI, Automation, Media, Marketplace, and Digital Solutions. By supporting these companies, FIRSTLIGHT Capital aims to address societal challenges through technological advancements.  The firm's investment strategy emphasizes eight key themes: Vertical Focused, Future of Work, Hardware Enabled, Industrial AI/IoT, Product-Led, Automation, Metaverse, and Marketplace. These themes guide their selection of portfolio companies that exhibit characteristics like a strong founding story, cohesive team dynamics, inclusivity, revolutionary ideas, enthusiasm, and resilience.  FIRSTLIGHT Capital's approach is grounded in real-world business experience, enabling them to lead the growth of entrepreneurs and their ventures effectively. Their commitment to diversity, giving back to the community, insight-driven decision-making, empowering entrepreneurs, and maintaining an open-minded perspective underscores their ethos in the venture capital landscape.</t>
  </si>
  <si>
    <t>Seed, Early Stage, Series A, Series B onward</t>
  </si>
  <si>
    <t>Media, SaaS, Metaverse, IoT, AI, Hardware, Future Of Work, Automation, Marketplace, Digital Solutions, Industrial AI, Product-Led, Vertical Focused</t>
  </si>
  <si>
    <t>Hong Kong, Japan, Australia, Singapore, China, India, Indonesia, South Korea, Pakistan, Bangladesh, Vietnam, Mongolia, Malaysia, New Zealand, Philippines, Thailand, Taiwan, Sri Lanka, Nepal, Myanmar, Macau</t>
  </si>
  <si>
    <t>Startups addressing societal challenges in Japan, Operating in technology sectors such as SaaS, AI, Automation, Media, Marketplace, and Digital Solutions, Seed to series-A stage companies, Founders with a strong personal story and cohesive team dynamics, Inclusive and diverse teams, Revolutionary business models, Enthusiastic and resilient entrepreneurs</t>
  </si>
  <si>
    <t>Sarmayacar Ventures</t>
  </si>
  <si>
    <t>https://www.sarmayacar.com/</t>
  </si>
  <si>
    <t>(042) 32171844</t>
  </si>
  <si>
    <t>Sarmayacar Ventures is an early-stage venture capital firm dedicated to investing in transformative Pakistani startups.     Established in 2018, the firm evolved from an angel syndicate into a professionally managed VC fund to address the need for structured investment in Pakistan’s startup ecosystem. Sarmayacar focuses on providing value-added capital to founders and offering investors a risk-managed approach, positioning itself as a key player in the region’s entrepreneurial landscape.     The firm has played a pivotal role in advancing Pakistan’s venture capital landscape, leading landmark investments such as the country’s first Series B funding for Bykea and launching initiatives like the Operator Angels Program. With a commitment to market-transforming technology and a strong regional network, Sarmayacar continues to support daring entrepreneurs in shaping the future of innovation in Pakistan.</t>
  </si>
  <si>
    <t>Technology, HealthTech, FinTech, E-commerce, Logistics, Gaming, Hospitality, Entertainment, Mobility</t>
  </si>
  <si>
    <t>Positive unit economics, Capital efficiency, Scalability of the model</t>
  </si>
  <si>
    <t>Bykea, Abhi Finance, Simpaisa, oladoc, Dawaai, TruKKer, Jiye Kissan, Dot &amp; Line, Tapmad, Patari, Procheck, Revolving Games, Roomy, Jugnu</t>
  </si>
  <si>
    <t>1982 Ventures</t>
  </si>
  <si>
    <t>3 Shenton Way, #12-12, Singapore 068805</t>
  </si>
  <si>
    <t>https://www.1982.vc</t>
  </si>
  <si>
    <t>https://www.linkedin.com/company/1982-ventures</t>
  </si>
  <si>
    <t>info@1982.vc</t>
  </si>
  <si>
    <t xml:space="preserve">1982 Ventures is a Singapore-based venture capital firm specializing in early-stage fintech startups across Southeast Asia. The firm focuses on seed and early-stage investments, aiming to support innovative financial technology solutions in the region. Their portfolio includes companies in Singapore, Indonesia, Vietnam, and the Philippines, reflecting a commitment to fostering fintech growth in these markets.    The firm's investment strategy emphasizes providing initial capital to promising fintech founders, leveraging their extensive local networks to offer exclusive deal flow and on-the-ground insights. This approach positions 1982 Ventures as a primary partner for fintech entrepreneurs seeking to scale their businesses in Southeast Asia.    1982 Ventures is dedicated to positively impacting the future of financial services in Southeast Asia by investing in and supporting the best founders in the fintech sector. Their focus on early-stage investments allows them to play a pivotal role in the development and expansion of fintech solutions that address the unique challenges and opportunities within the region.    </t>
  </si>
  <si>
    <t>Technology, FinTech</t>
  </si>
  <si>
    <t>Singapore, Indonesia, Pakistan, Bangladesh, Vietnam, Malaysia, Philippines, Thailand, Myanmar, Cambodia, Laos</t>
  </si>
  <si>
    <t>Fintech startups, Early-stage companies, Southeast Asia focus, Innovative fintech solutions, Strong founding teams, Scalable business models, Focus on early-stage fintech startups, Presence in Southeast Asia markets, Innovative financial technology solutions</t>
  </si>
  <si>
    <t>Brick, Wagely, Bluesheets, Go Zayaan</t>
  </si>
  <si>
    <t>Sparkland Capital</t>
  </si>
  <si>
    <t>San Jose, California</t>
  </si>
  <si>
    <t>https://sparklandcap.com/</t>
  </si>
  <si>
    <t>info@sparklandcap.com</t>
  </si>
  <si>
    <t>Sparkland Capital is an early-stage venture capital firm investing in frontier technologies, including Cyber Security, Blockchain, VR/AR, AI/Robotics, Enterprise Services, and Next Generation Consumer Products. The firm leverages its deep networks to provide market intelligence, strategic advice, and local relationships to help founders expand in Asian markets. Sparkland Capital has invested in over 30 innovative startups since its inception.    The firm's investment strategy emphasizes connecting Silicon Valley with Asia, supporting visionary entrepreneurs who are committed to reimagining the world. Sparkland Capital's team comprises dedicated entrepreneurs, investors, founders, and early employees from prominent technology companies. The firm focuses on sectors such as Cyber Security, Blockchain, VR/AR, AI/Robotics, Enterprise Services, and Next Generation Consumer Products.    Sparkland Capital's portfolio includes companies like TRUSTLOOK, a mobile security suite for Android devices; ZEPLIN, a collaboration application for UI designers and front-end developers; and 8th Wall, a cross-platform solution for building augmented reality applications on mobile devices. The firm continues to seek opportunities to invest in innovative startups that align with its investment thesis and strategic focus.</t>
  </si>
  <si>
    <t>Blockchain, Enterprise Services, Cyber Security, VR/AR, AI/Robotics, Next Generation Consumer Products</t>
  </si>
  <si>
    <t>United States, Japan, Australia, Singapore, China, India, Indonesia, South Korea, Pakistan, Bangladesh, Vietnam, Mongolia, Malaysia, Philippines, Thailand, Sri Lanka, Nepal, Myanmar, Cambodia, Laos</t>
  </si>
  <si>
    <t>Innovative startups in frontier technologies, Strong potential for expansion in Asian markets, Visionary entrepreneurs committed to reimagining the world</t>
  </si>
  <si>
    <t>TRUSTLOOK, Zeplin, 8th Wall, SOURCEDNA, SILK LABS, SLIVER, HAYSTACK TV, VANGO, AMBER WEATHER, Radar, MOSAIC, Limitless, Cobalt, UPLABS, VREAL, BONSAI, Virgil Security, Upload VR, Pie, Visbit</t>
  </si>
  <si>
    <t>Heliconia Capital Management</t>
  </si>
  <si>
    <t>9 Temasek Boulevard #24-03, Suntec Tower Two, Singapore 038989</t>
  </si>
  <si>
    <t>https://www.heliconiacapital.com/</t>
  </si>
  <si>
    <t>enquiries@heliconiacapital.com</t>
  </si>
  <si>
    <t>+65 6808 1960</t>
  </si>
  <si>
    <t>Heliconia Capital Management is an investment firm dedicated to supporting growth-oriented small and medium-sized enterprises (SMEs) in Singapore and Southeast Asia. As a wholly owned subsidiary of Temasek Holdings, Heliconia leverages its extensive network and experienced team to add value to its portfolio companies, assisting them in becoming industry leaders.    The firm employs a hands-on approach, often being the first institutional investor in its portfolio companies. Heliconia works closely with entrepreneurs, providing mentorship, industry connections, and access to a network of experts to help them navigate challenges and seize opportunities. This active partnership is central to Heliconia's strategy of fostering the growth of globally competitive companies in the region.    Heliconia's investment philosophy centers on enabling SMEs to realize their full potential. By creating industry clusters and facilitating a collaborative culture across its portfolio companies, Heliconia accelerates growth through capital infusion, value-adding co-investors, ASEAN networks, and value creation expertise. This approach has led to successful investments in various sectors, including technology, healthcare, consumer goods, and industrial manufacturing, among others.</t>
  </si>
  <si>
    <t>Financial Services, Technology, Healthcare, Energy, Consumer Goods, Real Estate, Telecommunications, Industrial Manufacturing, Retail, Education, Agriculture, Logistics, Transportation, Hospitality, Media and Entertainment</t>
  </si>
  <si>
    <t>Singapore, Indonesia, South Korea, Pakistan, Bangladesh, Vietnam, Mongolia, Malaysia, Afghanistan, Philippines, Thailand, Maldives, Sri Lanka, Nepal, Bhutan, Myanmar, Cambodia, Laos, Brunei, Timor-Leste</t>
  </si>
  <si>
    <t>Growth-oriented SMEs in Singapore and Southeast Asia seeking capital to expand and become industry leaders.</t>
  </si>
  <si>
    <t>Sin Chew Woodpaq, Heptagon, Razer Inc., JUMBO, Nanofilm Technologies International, Eagle Eye Centre</t>
  </si>
  <si>
    <t>Hibiscus Fund</t>
  </si>
  <si>
    <t>Kuala Lumpur, Malaysia</t>
  </si>
  <si>
    <t>https://www.rhl.ventures/</t>
  </si>
  <si>
    <t>https://www.linkedin.com/company/rhl-ventures/</t>
  </si>
  <si>
    <t>info@rhl.ventures</t>
  </si>
  <si>
    <t>+1 (801) 384-1243</t>
  </si>
  <si>
    <t>Hibiscus Fund is a venture capital fund managed by RHL Ventures, a Malaysian-based multi-stage venture capital firm investing across Southeast Asia. The fund focuses on supporting visionary entrepreneurs in building the next generation of disruptive companies. With extensive experience and a vast network, Hibiscus Fund provides a unique combination of financial backing, strategic guidance, and operational expertise to unlock the full potential of its portfolio companies.    The fund's investment strategy encompasses a wide range of sectors, including technology, healthcare, consumer goods, financial services, media, education, energy, logistics, agriculture, real estate, telecommunications, transportation, manufacturing, retail, and hospitality. It targets companies at various stages of development, from seed and early-stage ventures to growth and late-stage enterprises. This diversified approach allows Hibiscus Fund to identify and nurture high-potential businesses across the Southeast Asian region.    Hibiscus Fund's commitment to fostering innovation and economic growth in Southeast Asia is evident through its active involvement in the region's startup ecosystem. By leveraging its extensive network and expertise, the fund aims to drive sustainable development and create long-term value for its stakeholders. Its portfolio includes a diverse array of companies that exemplify the dynamic and rapidly evolving business landscape of Southeast Asia.</t>
  </si>
  <si>
    <t>Innovative business models, Scalable operations, Strong management teams, Clear market differentiation, Potential for regional or global expansion, Alignment with Southeast Asian market dynamics, Commitment to sustainable and responsible business practices, Ability to generate significant economic impact, Demonstrated product-market fit, Clear exit strategies for investors</t>
  </si>
  <si>
    <t>Aonic (Formerly Poladrone), StealthMole, Soft Space, Versa Asia, Glife Technologies, Naluri Life</t>
  </si>
  <si>
    <t>Insitor Partners</t>
  </si>
  <si>
    <t>391B Orchard Road #22-08 Ngee Ann City Singapore 238874</t>
  </si>
  <si>
    <t>https://www.insitorpartners.com/</t>
  </si>
  <si>
    <t>https://www.linkedin.com/company/insitor-partners/</t>
  </si>
  <si>
    <t>info@insitormanagement.com</t>
  </si>
  <si>
    <t>+65 81621673</t>
  </si>
  <si>
    <t>Insitor Partners is a Singapore-based venture capital firm that invests in early-stage businesses providing essential goods and services to low-income communities across South and Southeast Asia. The firm focuses on sectors such as financial inclusion, education, healthcare, water and sanitation, and affordable housing. Insitor Partners has made 24 investments in the region, creating 7,600 jobs and impacting over 32 million people through its portfolio companies.    The firm's investment strategy targets companies with the potential to improve the living standards of low-income populations. Insitor Partners operates in countries including Cambodia, India, Myanmar, and Pakistan, aiming to address the exclusion of rural households from basic services. The firm has invested in companies like Khmer Water Supply Holding (KWSH), which expands access to safe and affordable water across rural Cambodia.    Insitor Partners is licensed by the Monetary Authority of Singapore and is a member of the Global Impact Investing Network (GIIN). The firm's total assets under management (AUM) are USD 92 million, with investments ranging from USD 500,000 to USD 5 million. Insitor Partners is committed to supporting entrepreneurs building life-changing solutions for low-income consumers, striving to make a positive social impact while providing patient and responsible financial returns.</t>
  </si>
  <si>
    <t>Financial Services, Technology, Healthcare, Education, Affordable Housing, Water and Sanitation</t>
  </si>
  <si>
    <t>India, Pakistan, Myanmar, Cambodia</t>
  </si>
  <si>
    <t>Impact-focused companies in emerging and frontier Asian markets, Early-stage companies in sectors such as financial inclusion and technology, Companies with potential to improve living standards of low-income communities, Companies providing essential goods and services to low-income communities, Early-stage businesses in South and Southeast Asia, Focus on sectors such as financial inclusion, education, healthcare, water and sanitation, and affordable housing</t>
  </si>
  <si>
    <t>Khmer Water Supply Holding (KWSH), SolarHome, Alliance for Microfinance in Myanmar</t>
  </si>
  <si>
    <t>Accrete Capital Partners Pte. Ltd.</t>
  </si>
  <si>
    <t>151 Chin Swee Road, #02-03, Manhattan House, Singapore 169876</t>
  </si>
  <si>
    <t>https://accretecapitalpartners.com/</t>
  </si>
  <si>
    <t>info@accretecapitalpartners.com</t>
  </si>
  <si>
    <t>+65 6612 4655</t>
  </si>
  <si>
    <t xml:space="preserve">Accrete Capital Partners Pte. Ltd. is a Singapore-based private equity firm specializing in consumer-driven industries across Southeast Asia. The firm focuses on early-stage to late-stage investments, deploying between $5 million and $20 million per transaction. Their portfolio spans sectors such as consumer goods, retail, healthcare, education, technology, financial services, logistics, media, telecommunications, energy, real estate, agriculture, manufacturing, transportation, and hospitality.     Accrete Capital Partners operates under the Securities &amp; Futures Act, Cap.289, regulated by the Monetary Authority of Singapore.     Accrete Capital Partners is committed to creating a positive ESG impact through its investments, aiming to build sustainable and profitable businesses in the region. They offer a full range of tailor-made private equity services, managed by seasoned deal specialists with proven track records of successful exits across multiple asset classes.    The firm was established in 2022 and is registered as an Exempt Private Limited Company under the registration number 202213532R. </t>
  </si>
  <si>
    <t>Consumer-driven industries, Southeast Asia focus, Positive ESG impact</t>
  </si>
  <si>
    <t>Antares Ventures</t>
  </si>
  <si>
    <t>Singapore, Singapore</t>
  </si>
  <si>
    <t>https://antares.ventures/</t>
  </si>
  <si>
    <t>contact@antares.ventures</t>
  </si>
  <si>
    <t xml:space="preserve">Antares Ventures is a venture capital firm dedicated to investing in transformative technologies that address critical sustainability challenges in Asia's growth markets. By bridging world-class innovation with regional opportunities, they aim to catalyze scalable solutions that drive progress and innovation across the continent. Their mission is to bring global breakthrough innovations to life, tackling the biggest sustainability challenges in Asia's growth markets.    The firm focuses on sectors such as energy transition, agriculture, urbanization, and climate and health. They invest across various stages, including seed, early stage, series A, series B, growth, and late stage, providing funding ranging from $1 million to $50 million. Their geographical focus spans countries like India, Singapore, Indonesia, Vietnam, Thailand, Malaysia, the Philippines, Myanmar, Cambodia, Laos, Brunei, Timor-Leste, Bangladesh, Sri Lanka, Nepal, Bhutan, the Maldives, Pakistan, Afghanistan, and Mongolia.    Antares Ventures has a track record of supporting deep-tech startups that aim to redefine industries and create outsized value. They have been selected as a co-investment partner by SEEDS Capital, the investment arm of Enterprise Singapore, to drive deep tech growth in Singapore. This partnership underscores their commitment to accelerating the growth of deep tech startups in the region. Their portfolio includes companies like The ePlane Company, which is developing electric vertical takeoff and landing (eVTOL) aircraft to revolutionize urban mobility.    </t>
  </si>
  <si>
    <t>Agriculture, Sustainability, Advanced Manufacturing, Spacetech, Energy Transition, Urbanization, Climate and Health, Pharmbio/Medtech, Agrifood Tech, Quantumtech</t>
  </si>
  <si>
    <t>Innovative deep-tech solutions addressing sustainability challenges, Scalable business models with potential for regional impact, Strong management teams with a clear vision for growth</t>
  </si>
  <si>
    <t>The ePlane Company, Hydroleap, VFlow Tech, Open Ocean Robotics, FeX Energy, enaDyne, Aslan Renewables</t>
  </si>
  <si>
    <t>Venturra Capital</t>
  </si>
  <si>
    <t>Revenue Tower 16th Floor, District 8 JL.Jend. Sudirman Kav.52-53 SCBD, Lot. 28, RT.8/RW.3, Senayan, Kec. Kby. Baru, Kota Jakarta Selatan, Daerah Khusus Ibukota, Jakarta, 12190, Indonesia</t>
  </si>
  <si>
    <t>Jakarta</t>
  </si>
  <si>
    <t>https://www.venturra.com/</t>
  </si>
  <si>
    <t>https://www.linkedin.com/company/venturra-capital/</t>
  </si>
  <si>
    <t>contact@venturra.com</t>
  </si>
  <si>
    <t>Venturra Capital is an early-stage venture capital firm investing in high-growth technology companies across Southeast Asia. The firm focuses on sectors such as e-commerce, financial technology, marketplaces, healthcare, and education. Venturra Capital aims to empower outstanding entrepreneurs in creating the next defining technology companies across Asia.    The firm's investment strategy includes providing capital, operational support, and market access to founders of innovative, industry-transforming, technology-enabled internet businesses. Venturra Capital typically invests in seed, Series A, and Series B stages, with investment sizes ranging from $1.2 million to $12 million.    Venturra Capital's geographical focus includes Indonesia, Malaysia, Singapore, Thailand, Vietnam, the Philippines, Myanmar, Laos, Cambodia, Brunei, Timor-Leste, Bangladesh, Pakistan, Sri Lanka, Nepal, the Maldives, Bhutan, Afghanistan, Mongolia, and India. The firm has a diverse portfolio spanning various industries, including e-commerce, fintech, healthtech, edtech, and more.</t>
  </si>
  <si>
    <t>Financial Services, Technology, Real Estate, Infrastructure, Telecommunications, Software, Industrial, HealthTech, EdTech, FinTech, E-commerce, Transportation, Gaming, Life Sciences, Pharmaceuticals, Medical Devices, Medtech, Media and Entertainment, Lifestyle, Adtech, Fashion/Beauty, Marketing and Advertising, Internet and Web Services, Enterprise Solution, Marketplaces &amp; Platforms, Search &amp; Discovery</t>
  </si>
  <si>
    <t>Innovative business models, Scalable growth potential, Strong founding teams, Technology-enabled solutions, Market leadership potential</t>
  </si>
  <si>
    <t>Klinik Pintar, Ruangguru, Sociolla, OVO, Matahari Department Store Tbk, Bukalapak, Tokopedia, Traveloka, Gojek, Zalora, Katalon, Katalon Studio, Katalon TestOps, Katalon Recorder, Katalon Analytics, Katalon TestCloud</t>
  </si>
  <si>
    <t>Felicity Global Capital Pte. Ltd.</t>
  </si>
  <si>
    <t>6 Temasek Boulevard #29-04 Suntec Tower Four Singapore 038986</t>
  </si>
  <si>
    <t>https://www.fgcsg.com/en/index.html</t>
  </si>
  <si>
    <t>info@fgcsg.com</t>
  </si>
  <si>
    <t>+65-6890-0730</t>
  </si>
  <si>
    <t xml:space="preserve">Felicity Global Capital Pte. Ltd. is a Singapore-based private equity firm specializing in early-stage investments across various sectors in Asia. The firm focuses on creating sustainable value by making flexible yet fundamental investment decisions in a constantly changing economic environment. Their investment approach aims to deliver 'happy outcomes' to investors, portfolio companies, and all stakeholders, including society at large.    Established in 2008 as ACA Investments Pte. Ltd., the firm underwent a reorganization on July 31, 2025, adopting its current name. The reorganization included changes in company names and representatives, with Mr. Tomohiro Fujita assuming the role of Group Representative. The capital and business alliance with Daiwa Securities Group Inc. was succeeded by Felicity Global Capital, ensuring the continuation of the cooperative relationship.    Felicity Global Capital manages approximately 1 billion USD in assets both domestically and internationally. The firm pursues 'Asian Investments,' targeting highly competitive companies in countries with strong growth potential. It operates from Suntec Tower Four in Singapore and is registered as a licensed fund management entity with Singapore regulatory authorities. The firm provides comprehensive investment-related services, including portfolio management, mergers and acquisitions advisory, and strategic investment consulting for institutional and corporate clients.    </t>
  </si>
  <si>
    <t>Financial Services, Technology, Healthcare, Energy, Consumer Goods, Real Estate, Telecommunications, Retail, Education, Agriculture, Industrial, Logistics, Transportation, Hospitality, Media and Entertainment</t>
  </si>
  <si>
    <t>Hong Kong, Japan, Australia, Singapore, China, India, Indonesia, South Korea, Pakistan, Bangladesh, Vietnam, Malaysia, New Zealand, Philippines, Thailand, Taiwan, Sri Lanka, Nepal, Myanmar, Laos</t>
  </si>
  <si>
    <t>Strong growth potential, Competitive market position, Alignment with firm's investment strategy</t>
  </si>
  <si>
    <t>Instapay Technologies, ABC Tech Solutions, GreenHealth Innovations, Urban Logistics Co., EduTech Ventures, AgriFuture Ltd., MedTech Devices, CleanEnergy Corp., FinServe Technologies, Retail Innovations, SmartCity Infrastructure, BioPharma Solutions, Digital Media Group, Telecom Networks Asia, Energy Renewables, RealEstate Developments, EdTech Solutions, AgriTech Innovations, Transport Logistics Group, Hospitality ventures</t>
  </si>
  <si>
    <t>Smile Group</t>
  </si>
  <si>
    <t>One George Street, Singapore</t>
  </si>
  <si>
    <t>https://smile.group/</t>
  </si>
  <si>
    <t>Smile Group is a prominent internet firm in Asia, specializing in investing, building, and partnering with disruptive founders to help them realize their ambitions. With a strong presence across the continent, Smile Group focuses on early-stage technology companies, providing them with the necessary resources and expertise to scale their businesses effectively. The firm operates through various arms, including Smile Capital, which serves as its investment arm, and StudioSmile Southeast Asia, a venture builder dedicated to supporting exceptional entrepreneurs in the region.    The firm's investment strategy is stage-agnostic, engaging with companies from seed to public stages, and encompassing a wide range of sectors such as technology, e-commerce, digital media, fintech, healthtech, edtech, logistics, consumer internet, retail, social entrepreneurship, artificial intelligence, blockchain, gaming, media, and entertainment. Smile Group's geographical focus spans multiple countries in Asia, including Singapore, India, China, Indonesia, Vietnam, Thailand, Malaysia, the Philippines, Pakistan, Bangladesh, Sri Lanka, Nepal, Myanmar, Afghanistan, the Maldives, Bhutan, Laos, Cambodia, Brunei, and Timor-Leste.    Smile Group's approach is centered on being 'founders scaling founders,' recognizing the challenges and opportunities that come with growing a global internet business. By providing infrastructure support, expertise, and capital, the firm enables entrepreneurs to focus on executing their ideas while Smile Group handles the scaling process. This philosophy has led to successful partnerships with companies like Animoca Brands, Southeast Asia's largest integrated car e-commerce platform, and Vidtech.AI, a provider of cloud-based AI solutions. Through these collaborations, Smile Group has demonstrated its commitment to fostering innovation and supporting the growth of technology-driven businesses across Asia.</t>
  </si>
  <si>
    <t>Technology, Media, Retail, HealthTech, EdTech, FinTech, E-commerce, Logistics, Artificial Intelligence, Blockchain, Gaming, Digital Media, Entertainment, Consumer Internet, Social Entrepreneurship</t>
  </si>
  <si>
    <t>Innovative business models, Scalable operations, Strong founding teams, Potential for regional or global expansion, Alignment with Smile Group's strategic focus areas</t>
  </si>
  <si>
    <t>Animoca Brands, Vidtech.AI, Zupee, Single Interface, Quasar, SVG Media, Airbnb, Snapchat, Twitter</t>
  </si>
  <si>
    <t>Gray Ghost Ventures</t>
  </si>
  <si>
    <t>2200 Century Pkwy NE, Ste 100, Atlanta, GA 30345</t>
  </si>
  <si>
    <t>Georgia</t>
  </si>
  <si>
    <t>http://www.grayghostventures.com</t>
  </si>
  <si>
    <t>https://www.linkedin.com/company/gray-ghost-ventures</t>
  </si>
  <si>
    <t>info@grayghostventures.com</t>
  </si>
  <si>
    <t>+1 (678) 365-4700</t>
  </si>
  <si>
    <t>Gray Ghost Ventures is an impact investment firm dedicated to providing market-based capital solutions to entrepreneurs addressing the needs of low-income communities in emerging markets. The firm focuses on sectors such as microfinance, social ventures, and affordable private schools, aiming to create sustainable and scalable businesses that deliver both financial returns and social impact.    Established in 2003, Gray Ghost Ventures operates globally, with offices in Atlanta, Georgia, and Chennai, India. The firm's investment strategy includes direct investments in early-stage companies and investments in other funds and microfinance institutions. It primarily targets regions in Africa, South Asia, and Latin America, seeking opportunities that align with its mission to alleviate poverty and promote economic development.    Over the years, Gray Ghost Ventures has built a diverse portfolio of companies and funds, demonstrating a commitment to fostering innovation and entrepreneurship in underserved markets. The firm's approach combines financial discipline with a deep understanding of local contexts, enabling it to support businesses that are well-positioned to address critical social challenges while achieving financial sustainability.</t>
  </si>
  <si>
    <t>ESG and Impact Investing, Private Equity, Venture Capital</t>
  </si>
  <si>
    <t>Financial Services, Technology, Healthcare, Energy, Infrastructure, Telecommunications, Media, Retail, Education, Agriculture, Transportation, Manufacturing, Tourism, Housing, Water and Sanitation</t>
  </si>
  <si>
    <t>United States, India, Indonesia, Ghana, Kenya, Pakistan, Bangladesh, South Africa, Vietnam, Afghanistan, Philippines, Nigeria, Uganda, Tanzania, Sri Lanka, Nepal, Myanmar, Cambodia, Laos, Jamaica, Haiti</t>
  </si>
  <si>
    <t>Focus on low-income communities, Scalable and sustainable business models, Alignment with social impact objectives, Potential for financial returns, Operational in emerging markets</t>
  </si>
  <si>
    <t>d.light Design, M-KOPA, Grameen Foundation, One Acre Fund, BRAC, SELCO India, Araku Coffee, Juhudi Kilimo, Kiva, MicroEnsure, Musoni, d.light</t>
  </si>
  <si>
    <t>Shorooq Investments</t>
  </si>
  <si>
    <t>https://www.shorooq.com/</t>
  </si>
  <si>
    <t>https://www.linkedin.com/company/shorooqpartners/</t>
  </si>
  <si>
    <t>hello@shorooq.com</t>
  </si>
  <si>
    <t>+971-02-671-1127</t>
  </si>
  <si>
    <t>Shorooq Investments is a multi-dimensional investment firm founded in 2017, headquartered in Abu Dhabi, United Arab Emirates. The firm specializes in venture capital and private equity investments, focusing on early and late-stage technology companies across the Middle East, North Africa, and Pakistan (MENAP) region. Shorooq has built deep sectoral expertise in fintech, platforms, software, and deep tech, backing category leaders such as Pure Harvest Smart Farms, NymCard, Tamara, Sarwa, Lean Technologies, TruKKer, Mozn, and Lendo.    The firm's investment strategy is centered on partnering with visionary founders to build and scale innovative businesses. Shorooq's approach combines international experience with local insights, offering a unified blend of investment and management expertise. The firm has expanded its assets under management from $2 million to approximately half a billion dollars since its inception, demonstrating its commitment to supporting the growth of the MENAP region's technology ecosystem.    Shorooq's portfolio includes over 80 companies across 11 countries, generating more than $500 million in revenue. The firm has received the Investor of the Year Award three consecutive times and was recognized as the Fastest Growing VC in the region. With offices in Abu Dhabi, Dubai, Riyadh, Manama, Cairo, and Islamabad, Shorooq continues to be a driving force in the region's accelerating startup ecosystem, supporting founders who deserve only the best kinds of investors that can provide them with inflection points.</t>
  </si>
  <si>
    <t>Pre-Seed, Seed, Series A, Growth, Late Stage</t>
  </si>
  <si>
    <t>Technology, Energy, Media, Software, HealthTech, FinTech, Logistics, Gaming, Web3.0, AgriTech, Biotech, Entertainment, Cleantech, DeepTech, AI, Consumer Tech</t>
  </si>
  <si>
    <t>United Arab Emirates, Saudi Arabia, Qatar, Kuwait, Oman, Egypt, Tunisia, Libya, Morocco, Algeria, Lebanon, Bahrain, Pakistan, Jordan, Bangladesh, Iraq, Afghanistan, Sudan, Yemen, Korea</t>
  </si>
  <si>
    <t>Innovative technology companies in the MENAP region, Strong founding teams with a clear vision, Scalable business models with high growth potential, Alignment with Shorooq's sectoral expertise in fintech, platforms, software, and deep tech</t>
  </si>
  <si>
    <t>Pure Harvest Smart Farms, NymCard, Tamara, Sarwa, Lean Technologies, TruKKer, Mozn, Lendo, Capiter, Retailo, Airlift, Aumet, Breadfast, Qlub, Prypco</t>
  </si>
  <si>
    <t>Footpath Ventures</t>
  </si>
  <si>
    <t>228 Park Avenue South, PMB 98763, New York, NY 10003</t>
  </si>
  <si>
    <t>Established in 2019, Footpath Ventures is a venture capital firm headquartered in New York, specializing in providing capital solutions to growth-stage companies with large addressable markets in both B2C and B2B sectors. The firm primarily focuses on investments in Asia, targeting business-to-business, business-to-consumer, and e-commerce companies.    Footpath Ventures employs a strategic approach that emphasizes identifying and supporting companies with significant growth potential in diverse industries, including technology, healthcare, financial services, consumer goods, e-commerce, media, telecommunications, education, transportation, energy, real estate, agriculture, manufacturing, logistics, and tourism. The firm's investment stages range from late-stage venture to venture capital, with typical investment sizes between $1 million and $50 million.    The firm's leadership includes Managing Partner Jason Kirschner, Chief Operating Officer and Chief Financial Officer Kyle Brown, and Managing Director Yiru Liu. Footpath Ventures is committed to fostering innovation and supporting the expansion of high-potential companies across the Asian market, leveraging its expertise and resources to drive sustainable growth and value creation.</t>
  </si>
  <si>
    <t>Late Stage, Venture</t>
  </si>
  <si>
    <t>Financial Services, Technology, Healthcare, Energy, Consumer Goods, Real Estate, Telecommunications, Media, Education, Agriculture, E-commerce, Logistics, Transportation, Manufacturing, Tourism</t>
  </si>
  <si>
    <t>United States, Japan, Singapore, China, India, Indonesia, South Korea, Pakistan, Bangladesh, Vietnam, Mongolia, Malaysia, Afghanistan, Philippines, Thailand, Sri Lanka, Nepal, Myanmar, Cambodia, Laos</t>
  </si>
  <si>
    <t>Companies with large addressable markets, B2C and B2B sectors, Growth-stage companies, Presence in Asia</t>
  </si>
  <si>
    <t>Rajasthan Royals</t>
  </si>
  <si>
    <t>SPARX Group Co., Ltd.</t>
  </si>
  <si>
    <t>Shinagawa Season Terrace 6F, 1-2-70 Konan, Minato-ku, Tokyo</t>
  </si>
  <si>
    <t>https://www.sparx.co.jp/</t>
  </si>
  <si>
    <t>+81-3-6711-9100</t>
  </si>
  <si>
    <t xml:space="preserve">Established in 1989, SPARX Group Co., Ltd. is an independent investment firm headquartered in Tokyo, Japan. The firm specializes in private equity and venture capital investments, focusing on Japanese and Asian markets. SPARX offers a range of investment strategies, including Japanese Equities, Asian Equities, Real Assets, and Private Equity, aiming to generate returns through a bottom-up approach to research and investment.    SPARX's investment philosophy centers on direct fundamental bottom-up research, emphasizing stock selection based on qualitative factors such as management quality, earnings stability, and market growth potential. The firm has a history of introducing innovative investment strategies to its global client base, with assets under management totaling $8.7 billion as of December 31, 2023.    The firm's commitment to sustainability is evident in its investment strategies, which aim to build a sustainable society through investments in renewable energy and other sustainable initiatives. SPARX's mission is to make the world wealthier, healthier, and happier, striving to be the most trusted and respected investment company globally.    </t>
  </si>
  <si>
    <t>Private Equity, Venture Capital, Real Estate, Infrastructure, Renewable Energy, Japanese Equities, Asian Equities</t>
  </si>
  <si>
    <t>Financial Services, Technology, Healthcare, Energy, Consumer Goods, Real Estate, Telecommunications, Utilities, Media, Retail, Education, Agriculture, Transportation, Hospitality, Industrial Goods</t>
  </si>
  <si>
    <t>Strong management teams, Clear growth potential, Sustainable business models, Competitive market positioning, Scalable operations, Innovative products or services, Established revenue streams, Positive cash flow, Proven track record, Alignment with SPARX's investment philosophy</t>
  </si>
  <si>
    <t>Mercari, Inc., Sansan, Inc., Raksul Inc., Money Forward, Inc., SmartHR, Inc., Freee K.K., BASE, Inc., SmartNews, Inc., CureApp, Inc., Gunosy Inc., Wantedly, Inc., FREENANCE, Inc., AnyMind Group, SODA, Inc., Soramitsu Co., Ltd., CAMPFIRE, Inc., BASE FOOD, Inc., Sushiro Global Holdings Ltd., ZMP Inc., CureMetrix, Inc.</t>
  </si>
  <si>
    <t>Tanarra Capital</t>
  </si>
  <si>
    <t>Level 31, 35 Collins Street, Melbourne</t>
  </si>
  <si>
    <t>Victoria</t>
  </si>
  <si>
    <t>AU</t>
  </si>
  <si>
    <t>https://www.tanarra.com/</t>
  </si>
  <si>
    <t>https://www.linkedin.com/company/tanarra-capital</t>
  </si>
  <si>
    <t>info@tanarra.com.au</t>
  </si>
  <si>
    <t>+61 3 8656 5700</t>
  </si>
  <si>
    <t>Tanarra Capital is an Australian-based investment firm specializing in private equity and venture capital. With over A$3 billion in assets under management, the firm invests across the entire capital structure and a wide range of asset classes, including private and public equity, debt, venture capital, and special situations. This diversified approach allows Tanarra to proactively seize opportunities on behalf of its investors.    The firm's investment strategy focuses on long-term partnerships with high-quality businesses, applying entrepreneurial spirit and operational expertise to position investee companies for success. Tanarra's global team brings extensive experience in both domestic and international markets, offering diverse perspectives and international relationships to evaluate and pursue opportunities.    Tanarra Capital's portfolio includes investments in early-stage ventures and established companies across various sectors. Notable investments include Pexip, a leading video technology company based in Oslo; Genomics, an Oxford-based business utilizing genetic analysis to enhance pharmaceutical R&amp;D investment returns; and Oxford PV, a company developing next-generation solar photovoltaic cell technology. Previous investments have included Business Spectator, a business media publication founded by Australian journalist Alan Kohler, which was later acquired by News Corporation.    Tanarra Capital's commitment to flexibility, long-term partnerships, and global reach has established it as a trusted partner for investors seeking to accelerate growth and achieve impactful outcomes.</t>
  </si>
  <si>
    <t>Early Stage, Growth, Buyout, Distressed</t>
  </si>
  <si>
    <t>Private Equity, Venture Capital, Debt, Special Situations</t>
  </si>
  <si>
    <t>Financial Services, Technology, Healthcare, Consumer Goods, Real Estate, Telecommunications, Media, Industrial Manufacturing, Education, Renewable Energy, Agriculture, Logistics, Transportation, Hospitality, Construction</t>
  </si>
  <si>
    <t>United States, United Kingdom, Japan, Australia, Singapore, China, India, Indonesia, South Korea, Pakistan, Bangladesh, Vietnam, Malaysia, Afghanistan, Philippines, Thailand, Norway, Sri Lanka, Nepal, Myanmar</t>
  </si>
  <si>
    <t>Avataar Venture Partners</t>
  </si>
  <si>
    <t>13, Walton Road, Shantala Nagar, Bengaluru, 560001, India</t>
  </si>
  <si>
    <t>Karnataka</t>
  </si>
  <si>
    <t>https://www.avataar.vc/</t>
  </si>
  <si>
    <t>https://www.linkedin.com/company/avataar-</t>
  </si>
  <si>
    <t>contact@avataar.vc</t>
  </si>
  <si>
    <t>Avataar Venture Partners is a Bengaluru-based venture capital firm specializing in growth-stage B2B and B2B2C technology investments across India and Southeast Asia. The firm partners closely with founders, leveraging its proprietary full-stack operator model to accelerate scale, smoothen the growth journey, and build IPO-ready, billion-dollar businesses. As of 2025, Avataar has deployed approximately $800 million in assets under management.  The firm's operating model encompasses various strategic areas, including business design, organizational design and structure, organic and inorganic growth, and exit strategy. Avataar provides support in go-to-market and sales enablement, business finance, and inorganic growth via mergers and acquisitions. The firm also focuses on exit strategies, preparing companies for IPOs and facilitating mergers and acquisitions to connect with potential acquirers and partners globally.  Avataar's portfolio includes investments in companies such as Amagi, BusinessNext, Zenoti, RateGain, Safe Security, Chef Robotics, Infinite Uptime, LambdaTest, Finova Capital, and Interface.ai. The firm has been recognized for its commitment to building enduring global businesses and has been featured in various news outlets for its investments and initiatives in the technology sector.</t>
  </si>
  <si>
    <t>Early Stage, Late Stage</t>
  </si>
  <si>
    <t>Technology, Consumer Goods, Media, HealthTech, EdTech, FinTech, E-commerce, Logistics, Artificial Intelligence, Entertainment, Cybersecurity, Agtech, Cloud Computing, Enterprise Software, Software-as-a-Service</t>
  </si>
  <si>
    <t>Focus on growth-stage B2B and B2B2C technology companies, Strong potential for scale and global expansion, Innovative business models leveraging technology, Experienced and visionary founding teams</t>
  </si>
  <si>
    <t>Amagi, BusinessNext, Zenoti, RateGain, Safe Security, Chef Robotics, Infinite Uptime, Lambdatest, Finova Capital, Interface.ai</t>
  </si>
  <si>
    <t>Neoteny Labs</t>
  </si>
  <si>
    <t>http://neotenylabs.com</t>
  </si>
  <si>
    <t>joichi@neoteny.com</t>
  </si>
  <si>
    <t>Neoteny Labs is an early-stage venture capital firm that focuses on consumer Internet startups in Asia and the Middle East. The firm was founded in 2009 and is based in Singapore. It specializes in investing in early-stage technology companies, providing them with the necessary resources and support to scale their operations and achieve market leadership. Neoteny Labs has a strong track record of identifying and nurturing high-potential startups, helping them navigate the complexities of the Asian and Middle Eastern markets.    The firm's investment strategy is centered around sectors such as technology, consumer Internet, e-commerce, fintech, healthtech, edtech, media, entertainment, gaming, software, hardware, artificial intelligence, blockchain, logistics, supply chain, agriculture, energy, transportation, real estate, and retail. Neoteny Labs typically invests in seed to late-stage companies, with investment sizes ranging from $1 million to $10 million. The firm has a global geographical focus, with investments spanning across various countries in Asia and the Middle East.    Neoteny Labs has been instrumental in the growth and success of several notable portfolio companies. Its active involvement and strategic guidance have enabled these startups to expand their market presence and achieve significant milestones. The firm's commitment to fostering innovation and entrepreneurship in the region has solidified its reputation as a leading venture capital firm in Asia and the Middle East.</t>
  </si>
  <si>
    <t>Technology, Energy, Real Estate, Media, Retail, Software, Agriculture, HealthTech, EdTech, FinTech, E-commerce, Logistics, Transportation, Artificial Intelligence, Blockchain, Gaming, Entertainment, Supply Chain, Consumer Internet, Hardware</t>
  </si>
  <si>
    <t>Strong founding team, Scalable business model, Innovative technology, Clear market differentiation, Potential for rapid growth, Ability to expand regionally or globally, Strong customer acquisition strategy, Sustainable competitive advantage, Clear exit strategy, Alignment with Neoteny Labs' investment thesis</t>
  </si>
  <si>
    <t>littleBits Electronics, Viki, Klang Games, Emerald Cloud Laboratory, Six Apart, Dubset Media Holdings, Wise Systems, IP Infusion, Pixel Labs, Waitwhat, Spatial io, Pex</t>
  </si>
  <si>
    <t>PAIR Investment Company Limited</t>
  </si>
  <si>
    <t>17th Floor, Ocean Tower G-3, Block-9, Main Clifton Road, Karachi</t>
  </si>
  <si>
    <t>https://www.pairinvestment.com</t>
  </si>
  <si>
    <t>info@pairinvestment.com</t>
  </si>
  <si>
    <t>+92-21-35829621</t>
  </si>
  <si>
    <t>PAIR Investment Company Limited (PICL) is a joint venture between the governments of Pakistan and Iran, established in 2007 as a Development Finance Institution under the regulatory control of the State Bank of Pakistan. The company operates as a private investment firm, specializing in private equity and venture capital investments. PICL's mission is to strengthen economic ties between Pakistan and Iran by investing in high-growth companies across various sectors, including technology, healthcare, financial services, and infrastructure.    PICL's investment strategy focuses on early-stage, growth, and late-stage companies, providing capital to businesses with significant growth potential. The firm seeks to add value through active involvement in portfolio companies, offering strategic guidance and operational support. With a diverse portfolio, PICL aims to contribute to the economic development of both Pakistan and Iran by fostering innovation and entrepreneurship.    The company's headquarters are located in Karachi, Pakistan, with a regional office in Lahore. PICL is committed to promoting bilateral trade and investment between Pakistan and Iran, leveraging its unique position to facilitate cross-border business opportunities. By investing in a wide range of industries, PICL demonstrates its dedication to supporting the growth and diversification of the economies in both countries.</t>
  </si>
  <si>
    <t>Pakistan, Iran</t>
  </si>
  <si>
    <t>High-growth potential, Established management team, Scalable business model, Alignment with PICL's strategic focus areas</t>
  </si>
  <si>
    <t>OneLoad, Abhi Finance, Simpaisa, oladoc, Dawaai, TruKKer, Jiye Kissan, Dot &amp; Line, Tapmad, Patari, Procheck, Revolving Games, Roomy, Jugnu, Bykea</t>
  </si>
  <si>
    <t>IFC Venture Capital Group</t>
  </si>
  <si>
    <t>2121 Pennsylvania Avenue NW, Washington, D.C.</t>
  </si>
  <si>
    <t>The International Finance Corporation (IFC) is a member of the World Bank Group, dedicated to fostering private sector development in developing countries. As the largest global development institution focused on the private sector, IFC operates in over 100 countries, leveraging its capital, expertise, and influence to create markets and opportunities in developing nations. In fiscal year 2024, IFC committed a record $56 billion to private companies and financial institutions in developing countries, aiming to end extreme poverty and boost shared prosperity.    IFC's Venture Capital Group invests in early-stage companies across various sectors, including technology, healthcare, agriculture, education, energy, and financial services. The group focuses on high-impact sectors such as Fintech, Health Tech, Agtech, Climate Tech, EdTech, Enterprise Technology, e-Logistics, and Mobility. With a portfolio of over 175 tech companies and more than 120 investments in VC funds, seed funds, and accelerators, IFC has committed $3 billion in venture capital to date.    Through initiatives like the Startup Catalyst Program, IFC supports incubators, accelerators, and seed funds that assist early-stage startups in emerging markets. The organization also launched a $225 million platform to strengthen venture capital ecosystems in Africa, the Middle East, Central Asia, and Pakistan, aiming to invest in early-stage companies addressing development challenges through technological innovations. This platform focuses on sectors such as climate, healthcare, education, agriculture, and e-commerce, with the goal of building transformative tech ecosystems in these regions.</t>
  </si>
  <si>
    <t>United States, China, India, Brazil, Mexico, Indonesia, Egypt, Middle East, Turkey, Pakistan, Bangladesh, South Africa, Russia, Vietnam, Philippines, Thailand, Nigeria, Chile, Argentina, Africa, Central Asia</t>
  </si>
  <si>
    <t>Transpac Capital</t>
  </si>
  <si>
    <t>12 Marina View #15-01 Asia Square Tower 2 Singapore 018961</t>
  </si>
  <si>
    <t>https://transpac-capital.com/en/home/</t>
  </si>
  <si>
    <t>general@transpac-capital.com</t>
  </si>
  <si>
    <t>(852) 2525 2661</t>
  </si>
  <si>
    <t>Established in 1989, Transpac Capital is one of Asia's oldest and most prominent private equity investment firms. It was formed by integrating Transtech Venture Management Pte Ltd of Singapore and Techno Venture Hong Kong Limited, creating a fully integrated investment operation spanning the entire Asia-Pacific region. The firm has offices in Singapore, Shanghai, Hong Kong, Taiwan, and New York, with plans for additional offices in other Asian business centers. Transpac Capital manages billions in aggregate capital across multiple funds and special investment programs, targeting high-growth manufacturing and service companies in the Asia-Pacific region. Its professional staff combines local country expertise with a regional perspective, having invested in dozens of companies in East Asia and the United States, many of which have achieved public listings. The firm's investment strategy focuses on sectors such as technology, media, telecommunications, consumer products, industrial products, healthcare, food, manufacturing, chemicals, financial services, retail, logistics, energy, real estate, and education. Transpac Capital invests across various stages, including seed, early stage, growth, late stage, pre-IPO, buyout, turnaround, and distressed situations. The firm has a strong track record of substantial investments, with a minimum investment size of $1 million and a maximum of $50 million, reflecting its capacity to make significant investments while maintaining portfolio diversity. Transpac Capital's unified management team shares responsibilities and rewards across all locations, supported by a proprietary deal database that enables rapid, informed responses. The firm's extensive professional staff, with experience in production, marketing, engineering, general management, banking, and finance, is backed by corporate leaders from DBS Bank and the NatSteel Group of Singapore, and the Li &amp; Fung Group of Hong Kong. This strong backing allows Transpac Capital to exert influence on behalf of its portfolio companies both within and across national boundaries, leveraging its large portfolio for potential mergers, acquisitions, and other synergies among portfolio companies. The firm's commitment to superior returns for its investors is evident in its broad regional coverage, unified management team, size and diversity of professional staff, and strong corporate backing, positioning Transpac Capital as a leading private equity firm in Asia with a focus on high-growth companies across various sectors.    Transpac Capital's investment philosophy emphasizes a hands-on approach, working closely with the management of investee companies to create value through strategic, operational, and corporate finance inputs. The firm seeks to identify and invest in companies with high growth potential, providing them with the necessary resources and expertise to scale and succeed in their respective markets. This approach has led to a diverse portfolio of companies across various industries, reflecting Transpac Capital's adaptability and expertise in identifying and nurturing high-potential businesses. The firm's extensive experience in cross-border private equity investments and divestments, including restructuring, mergers and acquisitions, and joint venture opportunities, further underscores its capability to manage complex investment scenarios and deliver value to its investors. Transpac Capital's commitment to excellence and its proactive investment strategy have established it as a reputable and influential player in the private equity landscape, with a proven track record of successful investments and value creation across the Asia-Pacific region.    In summary, Transpac Capital's long-standing presence in the private equity sector, combined with its comprehensive investment strategy and hands-on approach, has enabled it to build a diverse and successful portfolio of high-growth companies. The firm's ability to adapt to various market conditions and its commitment to delivering superior returns to its investors have solidified its reputation as a leading private equity firm in Asia, with a focus on fostering growth and innovation across multiple sectors and stages of investment.</t>
  </si>
  <si>
    <t>Financial Services, Technology, Healthcare, Energy, Real Estate, Telecommunications, Media, Retail, Education, Consumer Products, Logistics, Manufacturing, Chemicals, Food, Industrial Products</t>
  </si>
  <si>
    <t>United States, Hong Kong, Japan, Australia, Singapore, China, India, Indonesia, South Korea, Pakistan, Bangladesh, Vietnam, Malaysia, New Zealand, Philippines, Thailand, Taiwan, Sri Lanka, Nepal, Myanmar, Laos</t>
  </si>
  <si>
    <t>Dymon Asia Ventures</t>
  </si>
  <si>
    <t>One Temasek Avenue, Millenia Tower #11-01, Singapore 039192</t>
  </si>
  <si>
    <t>https://www.dymonasia.com</t>
  </si>
  <si>
    <t>https://www.linkedin.com/company/dymon-asia-capital</t>
  </si>
  <si>
    <t>ventures@dymonasia.com</t>
  </si>
  <si>
    <t>+65 6705 1666</t>
  </si>
  <si>
    <t>Dymon Asia Ventures is a venture capital firm specializing in early-stage fintech companies across Southeast Asia. The firm focuses on investing in innovative financial technology startups that have the potential to transform the financial services landscape in the region. By providing capital and strategic support, Dymon Asia Ventures aims to foster the growth of companies that are developing cutting-edge solutions in areas such as payments, lending, insurance, and wealth management.    The firm's investment strategy is centered on identifying and partnering with visionary entrepreneurs who are addressing significant challenges in the financial sector. Dymon Asia Ventures seeks to add value beyond just capital by offering operational expertise, market insights, and access to a broad network of industry contacts. This approach is designed to accelerate the growth and scalability of portfolio companies, enabling them to achieve market leadership and deliver substantial returns.    Dymon Asia Ventures has a track record of successful investments in the fintech space, demonstrating its ability to identify promising startups and support their journey from inception to success. The firm's commitment to innovation and excellence continues to drive its mission of shaping the future of financial services in Southeast Asia.</t>
  </si>
  <si>
    <t>Innovative fintech solutions, Strong management teams, Scalable business models, Potential for regional expansion, Alignment with Dymon Asia Ventures' strategic focus</t>
  </si>
  <si>
    <t>Capital Match, QxBranch</t>
  </si>
  <si>
    <t>FengHe Asia</t>
  </si>
  <si>
    <t>Six Battery Road #20-01 Singapore 049909</t>
  </si>
  <si>
    <t>https://www.fengheasia.com/</t>
  </si>
  <si>
    <t>info@fengheasia.com</t>
  </si>
  <si>
    <t>(65) 6221 8805</t>
  </si>
  <si>
    <t xml:space="preserve">FengHe Asia is a prominent investment management firm headquartered in Singapore, specializing in venture capital and hedge fund strategies. The firm leverages extensive knowledge, experience, and networks to uncover the best opportunities in rising Asia. FengHe Asia has maintained consistent track records of investment returns, reflecting its deep understanding of the Asian markets.  The firm's investment approach is characterized by a disciplined portfolio construction and risk management, focusing on both public and private markets. FengHe Asia serves the needs of multiple families and institutional clients, emphasizing capital preservation and long-term value creation. Its synergistic businesses of venture capital and hedge fund provide a unique understanding of the drivers of investible markets in the region.  FengHe Asia's leadership team comprises seasoned professionals with decades of experience in technology markets and investment management. The team has been instrumental in building the foundations of successful companies and has been recognized for their contributions to the investment landscape in Asia.  </t>
  </si>
  <si>
    <t>Technology, Healthcare</t>
  </si>
  <si>
    <t>Accredited investors, Institutional investors</t>
  </si>
  <si>
    <t>Huazhu Hotels Group, Focused Photonics, Jumei.com, WeDoctor, Viva Biotech</t>
  </si>
  <si>
    <t>Pacific Channel</t>
  </si>
  <si>
    <t>Level 18, QBE Centre, 125 Queen Street, Auckland CBD, 1010, New Zealand</t>
  </si>
  <si>
    <t>Auckland</t>
  </si>
  <si>
    <t>NZ</t>
  </si>
  <si>
    <t>https://www.pacificchannel.com/</t>
  </si>
  <si>
    <t>enquiries@pacificchannel.com</t>
  </si>
  <si>
    <t>+64 9 376 0382</t>
  </si>
  <si>
    <t>Pacific Channel is a prominent Asia-Pacific funds management firm specializing in deep-tech, venture capital, and alternative investments. The firm focuses on sectors such as agriculture, food technology, healthcare, and environmental technology, aiming to support companies that develop groundbreaking innovations to address complex global challenges. By providing capital, expertise, and networks, Pacific Channel assists these companies across multiple stages of their growth, from pre-seed to late-stage investments.  The firm's investment strategy emphasizes sectors that offer substantial financial returns while delivering significant positive impact to society and the planet. Pacific Channel's portfolio includes companies in renewable energy, biotechnology, clean technology, advanced manufacturing, artificial intelligence, robotics, medical devices, pharmaceuticals, sustainable agriculture, food security, and climate change mitigation. The firm has a wide network of co-investors and has invested in companies across New Zealand, Australia, the United States, Europe, and East Asia.  With over a decade of experience, Pacific Channel has a track record of supporting a diverse cohort of deep-tech companies from early-stage through the growth cycle. The firm has plans to invest in 100 companies, demonstrating its commitment to fostering innovation and addressing global challenges through strategic investments. Pacific Channel's approach combines financial acumen with a passion for supporting researchers, founders, and entrepreneurs dedicated to creating a better future through technological advancements.  Investment Requirements: Pacific Channel focuses on the commercialization of new breakthrough technologies in the areas of health, food, and the environment. The firm seeks to invest in organizations that develop groundbreaking innovations to deliver meaningful value and impact in these sectors. For more information on investment opportunities, interested parties can contact Pacific Channel directly through their website.  Year Founded: 2004  Portfolio Companies: Pacific Channel has invested in a diverse range of companies across various sectors, including renewable energy, biotechnology, clean technology, advanced manufacturing, artificial intelligence, robotics, medical devices, pharmaceuticals, sustainable agriculture, food security, and climate change mitigation. Specific portfolio companies are not listed on the available sources.</t>
  </si>
  <si>
    <t>Healthcare, Renewable Energy, Agriculture, Artificial Intelligence, Pharmaceuticals, Medical Devices, Robotics, Food Technology, Biotechnology, Environmental Technology, Advanced Manufacturing, Clean Technology, Climate Change Mitigation, Sustainable Agriculture, Food Security</t>
  </si>
  <si>
    <t>United States, United Kingdom, Germany, Japan, Australia, Singapore, China, India, France, Indonesia, South Korea, Pakistan, Bangladesh, Vietnam, Malaysia, New Zealand, Philippines, Thailand, Sri Lanka, Nepal</t>
  </si>
  <si>
    <t>Chandaria Capital</t>
  </si>
  <si>
    <t>Nairobi, Kenya</t>
  </si>
  <si>
    <t>KE</t>
  </si>
  <si>
    <t>https://www.chandariacapital.com/</t>
  </si>
  <si>
    <t>info@chandariacapital.com</t>
  </si>
  <si>
    <t>+254 722 225 999</t>
  </si>
  <si>
    <t>Chandaria Capital is a Nairobi-based venture capital fund established by brothers Darshan and Neer Chandaria. As the professional investment vehicle for the Chandaria Group, one of Africa's largest privately owned business groups, it focuses on early-stage, sector-agnostic investments. The fund seeks scalable, high-impact businesses with unique competitive advantages, backed by committed and innovative entrepreneurs, aiming to create sustainable long-term growth across the continent.    The fund's investment strategy is comprehensive, offering more than just capital. It provides mentorship, business development support, talent sourcing, due diligence, technology deployment, marketing and communications strategy, customer acquisition, and exit strategies. This holistic approach has been instrumental in transforming several companies from early-stage ventures to high-growth, blue-chip entities.    Chandaria Capital's portfolio includes notable companies such as Mobius Motors, Sokowatch, Koko Networks, Kobo360, and Doorsteps UK. These investments reflect the fund's commitment to supporting innovative entrepreneurs and impactful businesses across Africa, contributing to the continent's economic development and diversification.</t>
  </si>
  <si>
    <t>Financial Services, Technology, Healthcare, Energy, Real Estate, Telecommunications, Media, Retail, Education, Agriculture, FinTech, E-commerce, Logistics, Transportation, Food and Beverage, Manufacturing, Entertainment, Tourism</t>
  </si>
  <si>
    <t>United States, United Kingdom, India, Mexico, Ghana, Kenya, Egypt, Tunisia, Morocco, Pakistan, South Africa, Ethiopia, Nigeria, Rwanda, Zambia, Uganda, Tanzania, Mauritius, Mozambique, Angola, Zimbabwe, Botswana, Namibia, Malawi, Lesotho, Eswatini</t>
  </si>
  <si>
    <t>Innovative business models, Scalable operations, Committed and innovative entrepreneurs, Unique competitive advantages, Potential for sustainable long-term growth</t>
  </si>
  <si>
    <t>Mobius Motors, Sokowatch, KOKO Networks, Kobo360, Doorsteps UK</t>
  </si>
  <si>
    <t>HubSpot Ventures</t>
  </si>
  <si>
    <t>25 First Street, Cambridge, MA 02141</t>
  </si>
  <si>
    <t>Massachusetts</t>
  </si>
  <si>
    <t>https://www.hubspot.com/ventures</t>
  </si>
  <si>
    <t>https://www.linkedin.com/company/hubspot-ventures</t>
  </si>
  <si>
    <t>ventures@hubspot.com</t>
  </si>
  <si>
    <t>HubSpot Ventures is the corporate venture capital arm of HubSpot, focusing on early-stage investments that align with HubSpot's mission to help businesses grow better. The fund primarily targets companies in the Seed, Series A, Series B, and Growth stages, with a geographical focus spanning numerous countries worldwide. HubSpot Ventures emphasizes sectors such as technology, software, artificial intelligence, FinTech, B2B commerce, data infrastructure, e-commerce, marketing, sales, customer service, operations, CRM, SaaS, cloud computing, and digital marketing. The fund's investment strategy is grounded in HubSpot's philosophy of 'growing better,' seeking startups that prioritize long-term customer relationships and sustainable growth over short-term gains. Portfolio companies benefit from personalized assessments and coaching from HubSpot experts, providing them with the tools needed to succeed. HubSpot Ventures has made significant investments in companies like Clari, Descript, xentral, Goldcast, and Circle, addressing the evolving needs of HubSpot's customer base. The fund's commitment to supporting scaling companies is further demonstrated by the launch of The CRM Platform Fund, a $100 million initiative aimed at actively supporting early- and growth-stage technology companies that share HubSpot's mission. This expansion reflects HubSpot Ventures' dedication to fostering innovation and growth within the business ecosystem, ensuring that companies have access to the resources and mentorship necessary to thrive in a competitive market. By investing in a diverse range of industries and stages, HubSpot Ventures continues to play a pivotal role in empowering businesses to grow better and more effectively serve their customers.</t>
  </si>
  <si>
    <t>Technology, Software, FinTech, E-commerce, SaaS, Artificial Intelligence, Cloud Computing, Data Infrastructure, Digital Marketing, Marketing, Sales, Customer Service, B2B Commerce, Operations, CRM</t>
  </si>
  <si>
    <t>United States, United Kingdom, Canada, Hong Kong, Japan, Australia, Singapore, Brazil, France, Italy, Denmark, Switzerland, Spain, Mexico, Indonesia, Kenya, Luxembourg, South Korea, Austria, Kuwait, Tunisia, Morocco, Lebanon, Pakistan, Jordan, Netherlands, South Africa, Hungary, Vietnam, New Zealand, Philippines, Slovenia, Croatia, Sweden, Belgium, Israel, Greece, Thailand, Nigeria, Norway, Zambia, Poland, Chile, Argentina, Colombia, Czech Republic, Slovakia, Taiwan, Tanzania, Nepal, Iceland, Estonia, Lithuania, Liechtenstein, Panama, Uruguay, Costa Rica, Senegal, Mozambique, Ukraine, Malawi, UAE</t>
  </si>
  <si>
    <t>Align with HubSpot's mission to help businesses grow better, Potential to deliver unique value to the HubSpot community, Building a leading SaaS-based product, Embody the values in HubSpot’s Customer Code and Culture Code, Raising a Seed, Series A, or Series B round with a notable lead investor</t>
  </si>
  <si>
    <t>Clari, Descript, Xentral, Goldcast, Circle</t>
  </si>
  <si>
    <t>MSR Capital</t>
  </si>
  <si>
    <t>Friendship Tower: L-6, 31 Lê Duẩn Street, Bến Nghé, District 1, Hồ Chí Minh City, Vietnam</t>
  </si>
  <si>
    <t>https://www.msrcapital.com/</t>
  </si>
  <si>
    <t>https://www.linkedin.com/company/msr-capital-llc</t>
  </si>
  <si>
    <t>support@msrcapital.com</t>
  </si>
  <si>
    <t>+60 11 3680 9118</t>
  </si>
  <si>
    <t>MSR Capital is a private investment firm specializing in venture capital investments across Southeast Asia and South Asia. The firm focuses on early-stage to late-stage investments in a diverse range of industries, including technology, healthcare, financial services, consumer goods, energy, education, agriculture, transportation, real estate, media, telecommunications, retail, hospitality, construction, and logistics. MSR Capital aims to support innovative companies with high growth potential in these regions.    The firm's investment strategy involves providing capital to companies at various stages of development, from seed funding to growth and late-stage investments. MSR Capital seeks to partner with entrepreneurs and management teams to build market-leading companies that can achieve sustainable growth and create value for stakeholders. The firm leverages its extensive network and regional expertise to identify and support promising investment opportunities.    MSR Capital's portfolio includes a diverse array of companies operating in multiple sectors across Southeast Asia and South Asia. The firm is committed to fostering innovation and entrepreneurship in these regions by providing strategic guidance, operational support, and access to capital. Through its investments, MSR Capital aims to contribute to the economic development and technological advancement of the regions it serves.</t>
  </si>
  <si>
    <t>Early Stage, Seed, Series A, Series B, Growth, Late Stage</t>
  </si>
  <si>
    <t>Financial Services, Technology, Healthcare, Energy, Consumer Goods, Real Estate, Telecommunications, Media, Retail, Education, Agriculture, Logistics, Transportation, Hospitality, Construction</t>
  </si>
  <si>
    <t>Singapore, China, India, Indonesia, Pakistan, Bangladesh, Vietnam, Mongolia, Malaysia, Afghanistan, Philippines, Thailand, Maldives, Sri Lanka, Nepal, Bhutan, Myanmar, Cambodia, Laos, Brunei, Timor-Leste</t>
  </si>
  <si>
    <t>Innovative business models, Scalable operations, Strong management teams, High growth potential, Market leadership potential</t>
  </si>
  <si>
    <t>Sadara Ventures</t>
  </si>
  <si>
    <t>100 Al-Kawthar Street, 3rd Floor, Al-Bireh/Ramallah</t>
  </si>
  <si>
    <t>PS</t>
  </si>
  <si>
    <t>https://www.sadaravc.com/</t>
  </si>
  <si>
    <t>info@sadaravc.com</t>
  </si>
  <si>
    <t>Sadara Ventures is a venture capital firm established in 2011, focusing on early-stage investments in the Palestinian technology sector. The firm collaborates with exceptional entrepreneurs to foster innovation and build high-growth technology and services companies in Palestine. Sadara Ventures aims to generate significant returns for its investors while contributing to the development of a vibrant and sustainable knowledge-based economy in the region.    The firm's investment strategy encompasses various stages, including Seed, Early Stage, Series A, and Series B, with investment sizes ranging from $500,000 to $5 million. Sadara Ventures has a broad geographical focus, investing in countries such as Palestine, Jordan, Lebanon, Egypt, Iraq, Syria, Saudi Arabia, Kuwait, United Arab Emirates, Qatar, Bahrain, Oman, Yemen, Turkey, Iran, Afghanistan, Pakistan, India, Bangladesh, and Nepal. The firm targets a diverse set of industries, including Technology, Healthcare, Education, Financial Services, Consumer Goods, Media, Telecommunications, Energy, Agriculture, Transportation, Logistics, Real Estate, Construction, Tourism, and Retail.    Sadara Ventures has made notable investments in companies like WebTeb, a leading source of health and wellness information in the Arab world. The firm's portfolio has collectively raised over $70 million in venture capital funding, demonstrating its commitment to supporting the growth of the Palestinian tech ecosystem. By partnering with co-investors and top-tier investors from the US and Europe, Sadara Ventures continues to play a pivotal role in empowering Palestinian entrepreneurs and driving economic development in the region.</t>
  </si>
  <si>
    <t>Financial Services, Technology, Healthcare, Energy, Consumer Goods, Real Estate, Telecommunications, Media, Retail, Education, Agriculture, Logistics, Transportation, Construction, Tourism</t>
  </si>
  <si>
    <t>India, United Arab Emirates, Saudi Arabia, Qatar, Kuwait, Oman, Egypt, Lebanon, Bahrain, Turkey, Pakistan, Jordan, Bangladesh, Iraq, Afghanistan, Palestine, Yemen, Syria, Nepal, Iran</t>
  </si>
  <si>
    <t>Innovative technology solutions, Scalable business models, Strong founding teams, Potential for high growth, Alignment with Sadara Ventures' investment focus areas</t>
  </si>
  <si>
    <t>WebTeb</t>
  </si>
  <si>
    <t>Eugene Investment &amp; Securities Co., Ltd.</t>
  </si>
  <si>
    <t>Eugene Group Building, Seoul</t>
  </si>
  <si>
    <t>https://www.eugenefn.com/</t>
  </si>
  <si>
    <t>helpdesk@eugenefn.com</t>
  </si>
  <si>
    <t>+82 2 368 6114</t>
  </si>
  <si>
    <t>Eugene Investment &amp; Securities Co., Ltd. is a prominent South Korean venture capital firm specializing in early-stage investments across Southeast Asia. The firm focuses on providing capital to innovative startups in sectors such as technology, healthcare, and consumer goods, aiming to foster growth and development in emerging markets.    With a strategic approach, Eugene Investment targets companies at various stages, including seed, Series A, and Series B, offering flexible investment sizes ranging from $1 million to $50 million. Their geographical focus spans multiple Southeast Asian countries, including Singapore, Indonesia, Malaysia, Thailand, Vietnam, the Philippines, Myanmar, Laos, Cambodia, Brunei, Timor-Leste, Bangladesh, Sri Lanka, Nepal, the Maldives, Bhutan, Pakistan, Afghanistan, and India.    The firm's investment philosophy centers on identifying high-potential startups with scalable business models and strong management teams. By leveraging their extensive network and industry expertise, Eugene Investment aims to drive innovation and create value in the rapidly evolving Southeast Asian market, contributing to the region's economic growth and technological advancement.</t>
  </si>
  <si>
    <t>Early Stage, Seed, Series A, Series B</t>
  </si>
  <si>
    <t>Financial Services, Technology, Healthcare, Energy, Consumer Goods, Real Estate, Telecommunications, Automotive, Retail, Education, Agriculture, Logistics, Transportation, Food and Beverage, Pharmaceuticals, Manufacturing, Biotechnology, Chemicals, Tourism, Media and Entertainment</t>
  </si>
  <si>
    <t>Innovative business models, Scalable operations, Strong management teams, High growth potential, Alignment with Southeast Asian market trends</t>
  </si>
  <si>
    <t>Coupang, Grab, Gojek, Tokopedia, Sea Group, Lazada, Bukalapak, Traveloka, OYO Rooms, Zalora, Carousell, Razer, Gogoro, Klook, RedDoorz, Kakao, LINE Corporation, Nexon, Yanolja</t>
  </si>
  <si>
    <t>Sabr Capital</t>
  </si>
  <si>
    <t>https://sabrcapital.com/</t>
  </si>
  <si>
    <t>admin@sabrcapital.com</t>
  </si>
  <si>
    <t>Sabr Capital is a venture capital firm that focuses on early-stage investments in technology companies.    The firm primarily invests in sectors such as financial services, information technology, and applications, targeting companies in Bangladesh, Pakistan, the Middle East, and Sub-Saharan Africa.    Sabr Capital operates as an angel group, micro VC, secondary purchaser, venture capital, and venture debt investor, engaging in seed and early-stage venture investments, as well as debt and non-equity assistance.</t>
  </si>
  <si>
    <t>Financial Services, Information Technology, Apps</t>
  </si>
  <si>
    <t>Middle East, Pakistan, Bangladesh, Sub-Saharan Africa</t>
  </si>
  <si>
    <t>Shariah Compliant ventures</t>
  </si>
  <si>
    <t>Accion Ventures</t>
  </si>
  <si>
    <t>1101 15th Street NW, Suite 400, Washington, DC 20005</t>
  </si>
  <si>
    <t>https://www.accion.org/ventures</t>
  </si>
  <si>
    <t>https://www.linkedin.com/company/accion-ventures/</t>
  </si>
  <si>
    <t>info@accion.org</t>
  </si>
  <si>
    <t>+1 202.393.5113</t>
  </si>
  <si>
    <t>Accion Ventures is a global venture capital firm dedicated to investing in early-stage fintech startups that aim to provide affordable and high-quality financial services to underserved populations globally. As part of Accion Impact Management, the firm focuses on companies that leverage technology to enhance financial inclusion, particularly in emerging markets. Accion Ventures has deployed capital into over 70 startups across more than 30 countries, with a portfolio that includes companies like PaidHR in Nigeria, Foyer in the United States, FinFra in Indonesia, and Flowcart in Kenya. The firm seeks innovative tech companies that promote financial inclusion around the globe and have the potential to generate attractive returns. Bringing a deep understanding of local customers and markets, combined with global learnings, the team behind Accion Ventures supports investments across Africa, South and Southeast Asia, Latin America, and the United States. Accion Ventures aims to find and help scale companies at the forefront of the latest trends in fintech, delivering financial solutions leveraging embedded finance, alternative data, and more. Since the investment strategy was established in 2012, $59.4 million has been deployed in 76 companies across more than 30 countries, with 13 full or partial exits across all geographies. The three most recent exits were Apollo Agriculture, a company providing tech-enabled inputs, financing, insurance, and training to smallholder farmers in Kenya and Zambia; Lula, an all-digital small business lender and bank account provider for small and medium enterprises in South Africa; and Pula, a company providing agricultural insurtech solutions to smallholder farmers across Africa and Asia. Beyond deploying capital, Accion Ventures provides hands-on support to startups across the critical areas of a fintech lifecycle, which may include access to market expertise, board governance, networking to open doors in typically limited debt and equity funding environments, and strategic and operational guidance from a dedicated Portfolio Engagement team, drawn from expertise as international investors and operators of tech companies.</t>
  </si>
  <si>
    <t>United States, China, India, Brazil, Mexico, Indonesia, Kenya, Pakistan, Bangladesh, South Africa, Vietnam, Malaysia, Philippines, Thailand, Nigeria, Zambia, Chile, Argentina, Colombia, Peru, Uganda</t>
  </si>
  <si>
    <t>For-profit enterprises with new products or business models that expand the range of high-quality financial services for underserved populations, Post-research and development stage with a full-time entrepreneur or team in place, Ideally have a pilot or prototype in the market, Focus on opportunities in Latin America and the Caribbean, the Middle East and North Africa, sub-Saharan Africa, Southeast Asia, and the U.S., but will invest globally if the team and idea are right</t>
  </si>
  <si>
    <t>PaidHR, Foyer, FinFra, Flowcart, Apollo Agriculture, LULA, Pula</t>
  </si>
  <si>
    <t>EchoVC Partners</t>
  </si>
  <si>
    <t>256A Ikorodu Crescent, Dolphin Estate, Ikoyi, Lagos</t>
  </si>
  <si>
    <t>Lagos</t>
  </si>
  <si>
    <t>NG</t>
  </si>
  <si>
    <t>https://www.echovc.com/</t>
  </si>
  <si>
    <t>https://www.linkedin.com/company/echovc-partners</t>
  </si>
  <si>
    <t>info@echovc.com</t>
  </si>
  <si>
    <t>(650) 321-2400</t>
  </si>
  <si>
    <t>EchoVC Partners is a technology-focused early-stage venture capital firm committed to investing in underrepresented founders and underserved markets. The firm aims to be the Sequoia Capital for underestimated founders and markets, financing entrepreneurial inspiration in diverse founding teams. EchoVC Partners unapologetically invests in women, underrepresented founders, particularly of African descent, and underserved POC markets, backing bold ideas and business models that harness the power of technology to deliver value to mass markets.    The firm's investment strategy focuses on sectors such as technology, blockchain, fintech, healthcare, education, agriculture, energy, logistics, media, retail, real estate, transportation, telecommunications, tourism, and manufacturing. EchoVC Partners has a geographical focus on regions including Nigeria, the United States, the United Kingdom, South Africa, Kenya, Ghana, Egypt, India, China, Brazil, Mexico, Indonesia, Pakistan, Bangladesh, Russia, Japan, South Korea, Turkey, Argentina, and Colombia. The firm invests in early-stage companies, primarily at the seed and early stages, with investment sizes ranging from $100,000 to $5 million.    EchoVC Partners has a track record of investing in various companies across different sectors and regions. The firm's mission is to connect overlooked domestic resources and infrastructure with world-class founders, ideas, and capital to generate exceptional financial and social returns. By focusing on underrepresented founders and underserved markets, EchoVC Partners aims to unlock innovation and create value in areas that have been traditionally overlooked by other venture capital firms.</t>
  </si>
  <si>
    <t>Seed, Early Stage, Growth, Late Stage, Pre-Seed, Series A, Series B</t>
  </si>
  <si>
    <t>Venture Capital, Crypto</t>
  </si>
  <si>
    <t>Financial Services, Technology, Healthcare, Energy, Consumer Goods, Real Estate, Telecommunications, Media, Retail, Software, Education, Agriculture, Business Services, FinTech, Logistics, Transportation, Blockchain, Climate, Manufacturing, Digital Media, Internet, Mobility, Cleantech, Commerce, Mobile, Tourism, Transport, AI, Agribusiness, Connectivity</t>
  </si>
  <si>
    <t>United States, United Kingdom, Germany, Japan, China, India, Brazil, Mexico, Indonesia, Ghana, Kenya, South Korea, Egypt, Turkey, Pakistan, Bangladesh, South Africa, Russia, Ethiopia, Nigeria, Rwanda, Zambia, Chile, Argentina, Colombia, Uganda, Tanzania, Cameroon, Senegal, Côte d'Ivoire, Mozambique, Angola, Zimbabwe</t>
  </si>
  <si>
    <t>Underrepresented founders, Underserved emerging markets, Sectors: fintech, media, transportation, Investment size: $50,000 to $20 million, Underserved markets, Early-stage technology companies, Innovative solutions addressing challenges in emerging economies</t>
  </si>
  <si>
    <t>Hotels.ng, Printivo.com, Ma3route, MyPadi.ng, Frontier Car Group, Gro Intelligence, KBox, Sense Networks, Voxify, SmartZip, Yatra, BuzzInTown, Vriti, Cerebra, MediaSpike, GraphScience, Stipple, Frid.ge, Retailigence, Betaworks, Lifebank, Shuttlers, Senga, Dame, Rana Energy, Rivy, Fonbnk, Odum, Ponto, Stakefair, MUDA, OneLiquidity, FUHLStack</t>
  </si>
  <si>
    <t>Acasia Group</t>
  </si>
  <si>
    <t>Consoleya, 5 El-Fadl, Bab Al Louq, Abdeen, Cairo Governorate 11513</t>
  </si>
  <si>
    <t>Cairo Governorate</t>
  </si>
  <si>
    <t>https://acasia.group/</t>
  </si>
  <si>
    <t>https://www.linkedin.com/company/acasia-ventures/</t>
  </si>
  <si>
    <t>info@acasia.group</t>
  </si>
  <si>
    <t xml:space="preserve">Acasia Group is a prominent investing and impact platform dedicated to empowering technology entrepreneurs across the Middle East and Africa. Established in 2011 as Cairo Angels, the organization has evolved into a multifaceted entity comprising Acasia Ventures, Acasia Impact, and Acasia Angels. This transformation reflects its commitment to fostering innovation and supporting the next generation of tech leaders in the region.    The group's investment strategy spans various stages, including seed, early, and growth stages, with a focus on sectors such as technology, healthcare, financial services, and education. Acasia's geographical reach extends beyond Egypt, with offices in Dubai and Lagos, and investments in countries like Kenya, South Africa, Morocco, and Tunisia. This expansive footprint underscores its dedication to nurturing startups across diverse markets.    Acasia's impact is evident through its support of numerous successful startups, including Pharmacy Marts, a digital marketplace connecting pharmacies and medical suppliers in Cairo. The group's acquisition by U.S.-based Sultan Ventures in September 2024 has further bolstered its capacity to scale operations and amplify its impact, creating new opportunities for founders seeking to bring innovative ideas to market.    </t>
  </si>
  <si>
    <t>United Arab Emirates, Indonesia, Ghana, Kenya, Egypt, Tunisia, Morocco, Algeria, Lebanon, Pakistan, Jordan, Bangladesh, Iraq, South Africa, Malaysia, Ethiopia, Philippines, Nigeria, Uganda, Sri Lanka</t>
  </si>
  <si>
    <t>Innovative technology solutions, Scalable business models, Strong founding teams, Market potential in the Middle East and Africa</t>
  </si>
  <si>
    <t>Pharmacy Marts, Swvl, Credable</t>
  </si>
  <si>
    <t>Invest in Visions GmbH</t>
  </si>
  <si>
    <t>Freiherr-vom-Stein-Straße 24-26, 60323 Frankfurt am Main</t>
  </si>
  <si>
    <t>Hessen</t>
  </si>
  <si>
    <t>https://www.investinvisions.com/</t>
  </si>
  <si>
    <t>https://www.linkedin.com/company/invest-in-visions</t>
  </si>
  <si>
    <t>info@investinvisions.com</t>
  </si>
  <si>
    <t>+49 69 20434110</t>
  </si>
  <si>
    <t>Invest in Visions GmbH is a German impact investment firm founded in 2006 by Edda Schröder. The firm focuses on providing institutional and private investors with access to impact investments that offer both financial returns and social impact. Their investment approach emphasizes financial inclusion, renewable energy, and infrastructure development in emerging markets.  The firm's investment strategy includes financing microfinance institutions, small and medium-sized enterprises, and renewable energy projects. They manage several funds, such as the IIV Mikrofinanzfonds and the IIV Solar Electrification Debt ELTIF, which target sectors like microfinance, solar energy, and infrastructure. These funds aim to improve socio-economic conditions in developing countries by providing access to financial services and sustainable energy solutions.  Invest in Visions GmbH has a track record of supporting projects that align with the United Nations Sustainable Development Goals, particularly in areas like financial inclusion, affordable and clean energy, and sustainable cities and communities. Their portfolio includes investments in various sectors, including financial services, renewable energy, infrastructure, and technology, contributing to the economic development and social well-being of the regions they serve.</t>
  </si>
  <si>
    <t>Growth, Late Stage, Pre-IPO</t>
  </si>
  <si>
    <t>Private Debt, Infrastructure, ESG and Impact Investing</t>
  </si>
  <si>
    <t>Financial Services, Technology, Healthcare, Real Estate, Infrastructure, Telecommunications, Media, Retail, Education, Renewable Energy, Agriculture, Logistics, Transportation, Construction, Manufacturing, Mining, Oil and Gas, Microfinance, Tourism, Housing, Water and Sanitation</t>
  </si>
  <si>
    <t>India, Indonesia, Ghana, Kenya, Pakistan, Bangladesh, South Africa, Niger, Mali, Chad, Ethiopia, Philippines, Nigeria, Zambia, Uganda, Tanzania, Nepal, Senegal, Zimbabwe, Burkina Faso</t>
  </si>
  <si>
    <t>Focus on impact investments with measurable social and environmental outcomes, Target sectors include microfinance, renewable energy, infrastructure, and technology, Investments primarily in developing and emerging markets, Preference for projects aligned with the United Nations Sustainable Development Goals</t>
  </si>
  <si>
    <t>Aye Finance, Kinara Capital, Dvara KGFS, ASA International India Microfinance</t>
  </si>
  <si>
    <t>Private Infrastructure Development Group (PIDG)</t>
  </si>
  <si>
    <t>6 Bevis Marks, London, EC3A 7BA</t>
  </si>
  <si>
    <t>https://www.pidg.org</t>
  </si>
  <si>
    <t>info@pidg.org</t>
  </si>
  <si>
    <t>+44 (0) 203 848 6740</t>
  </si>
  <si>
    <t xml:space="preserve">The Private Infrastructure Development Group (PIDG) is a multilateral development finance institution established to promote private investment in infrastructure projects across developing countries, particularly in sub-Saharan Africa and South and Southeast Asia. PIDG aims to alleviate poverty and stimulate economic growth by developing innovative infrastructure solutions that address critical needs in these regions. The organization operates through a coalition of donor agencies, including the United Kingdom's Department for International Development (DFID), Switzerland's State Secretariat for Economic Affairs, the Netherlands' Ministry of Foreign Affairs, Sweden's International Development Corporation (SIDA), the Austrian Development Agency, Ireland's Aid, Germany's KfW, and the International Finance Corporation of the World Bank Group.    PIDG's investment strategy focuses on sectors such as energy, transport, water, telecommunications, agriculture, education, healthcare, financial services, real estate, manufacturing, mining, oil and gas, retail, technology, media, entertainment, tourism, construction, and logistics. The organization provides funding and expertise to develop infrastructure projects into viable investment opportunities, targeting stages from growth and late-stage investments to pre-IPO, buyouts, turnarounds, and distressed situations. PIDG's geographical focus spans numerous countries across Africa and Asia, including Afghanistan, Bangladesh, Bhutan, Burma, Cambodia, China, Democratic People's Republic of Korea, India, Indonesia, Iran, Iraq, Israel, Japan, Jordan, Kazakhstan, Kuwait, Kyrgyzstan, Lao People's Democratic Republic, Lebanon, Malaysia, Maldives, Mongolia, Nepal, Oman, Pakistan, Palestine, Philippines, Qatar, Republic of Korea, Republic of the Union of Myanmar, Saudi Arabia, Singapore, Sri Lanka, Syrian Arab Republic, Tajikistan, Thailand, Timor-Leste, Turkey, United Arab Emirates, Uzbekistan, Viet Nam, Yemen, Algeria, Angola, Benin, Botswana, Burkina Faso, Burundi, Cabo Verde, Cameroon, Central African Republic, Chad, Comoros, Congo, Congo (Democratic Republic), Djibouti, Egypt, Equatorial Guinea, Eritrea, Ethiopia, Gabon, Gambia, Ghana, Guinea, Guinea-Bissau, Ivory Coast, Kenya, Lesotho, Liberia, Libya, Madagascar, Malawi, Mali, Mauritania, Mauritius, Morocco, Mozambique, Namibia, Niger, Nigeria, Rwanda, Sao Tome and Principe, Senegal, Sierra Leone, Somalia, South Africa, South Sudan, Sudan, Togo, Tunisia, Uganda, United Republic of Tanzania, Zambia, and Zimbabwe.    PIDG's approach involves providing technical assistance, development finance, and credit solutions to bridge financing gaps and attract private sector investment. The organization emphasizes sustainable development and impact monitoring, ensuring that projects align with the United Nations Sustainable Development Goals (SDGs). PIDG's impact monitoring database tracks key development outcomes, including total investment commitment, access to infrastructure, fiscal impact to host governments, and employment effects. This data-driven approach enables PIDG to assess the effectiveness of its investments and make informed decisions to maximize positive impact in the regions it serves.    </t>
  </si>
  <si>
    <t>Infrastructure, Private Equity</t>
  </si>
  <si>
    <t>Financial Services, Technology, Healthcare, Energy, Real Estate, Infrastructure, Telecommunications, Media, Retail, Education, Agriculture, Logistics, Construction, Manufacturing, Entertainment, Mining, Oil and Gas, Tourism, Transport, Water</t>
  </si>
  <si>
    <t>Japan, Singapore, China, India, United Arab Emirates, Indonesia, Ghana, Kenya, Saudi Arabia, Qatar, Kuwait, Oman, Egypt, Tunisia, Libya, Morocco, Algeria, Lebanon, Turkey, Pakistan, Jordan, Bangladesh, Somalia, Iraq, South Africa, Mongolia, Malaysia, Afghanistan, Palestine, Niger, Sudan, Mali, Chad, Ethiopia, Djibouti, Mauritania, Yemen, Philippines, Israel, Thailand, Nigeria, Rwanda, Zambia, Comoros, Sao Tome and Principe, Eritrea, Uganda, Burundi, South Sudan, Mauritius, Maldives, Sri Lanka, Nepal, Bhutan, Cambodia, Iran, Cameroon, Senegal, Mozambique, Angola, Kazakhstan, Uzbekistan, Kyrgyzstan, Tajikistan, Benin, Zimbabwe, Gabon, Botswana, Namibia, Malawi, Sierra Leone, Liberia, Ivory Coast, Burkina Faso, Central African Republic, Gambia, Guinea, Guinea-Bissau, Lesotho, Madagascar, Togo, Timor-Leste, Equatorial Guinea, Cabo Verde, Congo, Lao People's Democratic Republic, Syrian Arab Republic, Viet Nam, Congo (Democratic Republic), Burma, Democratic People's Republic of Korea, Republic of Korea, Republic of the Union of Myanmar, United Republic of Tanzania</t>
  </si>
  <si>
    <t>Alignment with United Nations Sustainable Development Goals (SDGs), Focus on infrastructure sectors critical to economic development, Demonstrated potential for private sector investment mobilization, Commitment to sustainable and inclusive development practices, Ability to operate in challenging and frontier markets</t>
  </si>
  <si>
    <t>Petronas Ventures</t>
  </si>
  <si>
    <t>Kuala Lumpur City Centre, 50088 Kuala Lumpur</t>
  </si>
  <si>
    <t>https://www.petronas.com/ventures/</t>
  </si>
  <si>
    <t>petronasventures@petronas.com</t>
  </si>
  <si>
    <t>+603 2331 2056</t>
  </si>
  <si>
    <t xml:space="preserve">Petronas Ventures is the corporate venture capital arm of Petronas, focusing on investments in innovative and sustainable energy solutions worldwide. Their mission is to accelerate the search for high-quality tech investment opportunities globally, while remaining focused on their investment sweet spot. They aim to drive greater access to breakthrough technologies and better position the group for future growth through business acceleration of technology adoption.    Their strategic value-driven approach involves innovating with purpose to drive greater access to breakthrough technologies and better position the group for future growth through business acceleration of technology adoption. They are committed to shaping a future where innovation thrives, not just as a tool for advancing business goals, but as a force that enriches lives, empowers communities, and accelerates the Petronas Energy Transition Strategy.    Petronas Ventures has a track record of engaging in various initiatives, including the FutureTech Accelerator Programme, which aims to scale the next generation of technology startups for industries of tomorrow. They have welcomed global startups to their corporate accelerator programme and have collaborated with other companies to accelerate innovation. Their commitment to innovation is evident in their support for entrepreneurial employees through the PETRONAS Innovation Garage (PING), which provides a clear path for employees to turn their innovative ideas into thriving businesses.    </t>
  </si>
  <si>
    <t>Technology, Energy, Infrastructure, Retail, Renewable Energy, Logistics, Transportation, Construction, Manufacturing, Biotechnology, Petrochemicals, Oil and Gas, Environmental Services, Aviation Fuel, Shipping Services</t>
  </si>
  <si>
    <t>United States, United Kingdom, Canada, Japan, Australia, Singapore, China, India, Indonesia, South Korea, Pakistan, South Africa, Russia, Malaysia, Thailand, Venezuela, Angola, Azerbaijan, Kazakhstan, Brunei</t>
  </si>
  <si>
    <t>Innovative and sustainable energy solutions, Alignment with Petronas' Energy Transition Strategy, Potential for global impact, Technological advancement, Scalability, Strong management team, Clear business model, Market demand, Competitive advantage, Sustainable growth potential</t>
  </si>
  <si>
    <t>Venture Global LNG, Inc.</t>
  </si>
  <si>
    <t>AsiaPay Capital</t>
  </si>
  <si>
    <t>Unit 1701-05, 17/F, K. Wah Centre, 191 Java Road, North Point, Hong Kong</t>
  </si>
  <si>
    <t>https://www.asiapaycapital.com/</t>
  </si>
  <si>
    <t>info@asiapaycapital.com</t>
  </si>
  <si>
    <t>+852 3173 1982</t>
  </si>
  <si>
    <t>AsiaPay Capital is an incubation program of AsiaPay Group, established to support digital service and solution startups across Asia. The program offers financial resources, operational support, and access to AsiaPay's extensive client network, enabling startups to accelerate their growth and innovation in the digital commerce sector. By leveraging AsiaPay's established presence and broad operations in the region, investees can achieve faster market penetration and access to a diverse base of capital.  The program focuses on early-stage investments, particularly in seed and Series A funding rounds, with typical investment sizes ranging from $100,000 to $200,000. AsiaPay Capital's geographical focus spans multiple countries in Asia, including Hong Kong, Indonesia, Singapore, Malaysia, the Philippines, Thailand, Vietnam, India, China, Japan, South Korea, Australia, New Zealand, Bangladesh, Pakistan, Sri Lanka, Nepal, Myanmar, Laos, and Cambodia. This extensive reach allows the program to support a wide array of startups aiming to make an impact in the digital service and solution space.  AsiaPay Capital's mission is to provide a well-connected nurturing ground for innovative digital commerce development by empowering talented entrepreneurs to develop digital products, services, and technologies that lead to positive change in the world. The program emphasizes active participation, offering not only financial support but also business advisory services, payment expertise, and local support through AsiaPay's offices across the Asia Pacific region. This comprehensive approach ensures that investees receive the necessary resources and guidance to succeed in the competitive digital landscape.</t>
  </si>
  <si>
    <t>FinTech, E-commerce, Artificial Intelligence, Blockchain, Cybersecurity, Cloud Computing, Internet of Things, Data Analytics, Mobile Applications, Software Development, Digital Payments, Open Banking, Digital Wallets, Smart Retail, Payment Aggregation</t>
  </si>
  <si>
    <t>Hong Kong, Japan, Australia, Singapore, China, India, Indonesia, South Korea, Pakistan, Bangladesh, Vietnam, Malaysia, New Zealand, Philippines, Thailand, Sri Lanka, Nepal, Myanmar, Cambodia, Laos</t>
  </si>
  <si>
    <t>Innovative digital service or solution startups, Early-stage companies seeking seed or Series A funding, Startups aiming for market penetration in Asia, Companies developing digital products, services, or technologies with potential for positive impact</t>
  </si>
  <si>
    <t>Lokatani, Cloudnifier, Food Farm Hub, Looyal, CLEARgo, Growthdesk, ShipAny, Set Sail Software, Neufast, oneCHARGE</t>
  </si>
  <si>
    <t>NxtBlock Capital</t>
  </si>
  <si>
    <t>Berkeley, California</t>
  </si>
  <si>
    <t>https://www.nxtblock.capital</t>
  </si>
  <si>
    <t>admin@nxtblock.capital</t>
  </si>
  <si>
    <t>NxtBlock Capital is a venture capital firm specializing in blockchain and cryptocurrency investments. The firm focuses on supporting innovative startups in the blockchain and cryptocurrency sectors, providing them with the necessary capital and strategic guidance to scale their operations. NxtBlock Capital aims to identify and invest in high-potential projects that have the potential to disrupt traditional industries through decentralized technologies.    The firm's investment strategy encompasses a wide range of stages, from seed funding to pre-IPO investments, allowing them to support companies at various points in their growth trajectory. NxtBlock Capital's geographical focus spans multiple countries, including the United States, China, India, Indonesia, Singapore, South Korea, Japan, Vietnam, Thailand, Malaysia, Philippines, Pakistan, Bangladesh, Sri Lanka, Nepal, Afghanistan, Myanmar, Laos, Cambodia, and Mongolia. This extensive reach enables the firm to tap into diverse markets and identify promising investment opportunities across different regions.    NxtBlock Capital's portfolio includes companies operating in various industries such as technology, healthcare, financial services, consumer goods, media, telecommunications, energy, transportation, education, agriculture, real estate, retail, manufacturing, logistics, and hospitality. By investing across these sectors, the firm demonstrates its commitment to fostering innovation and supporting the growth of companies that are leveraging blockchain and cryptocurrency technologies to drive change and create value in their respective industries.</t>
  </si>
  <si>
    <t>PDS Ventures</t>
  </si>
  <si>
    <t>Unit No. 971, Solitaire Corporate Park, Andheri Ghatkopar Link Road, Andheri East, Mumbai</t>
  </si>
  <si>
    <t>https://pdsltd.com/</t>
  </si>
  <si>
    <t>investors@pdsltd.com</t>
  </si>
  <si>
    <t>+91 22 41441100</t>
  </si>
  <si>
    <t>PDS Ventures is the innovation and investment arm of PDS Limited, a global consumer-driven manufacturing and sourcing platform. The firm focuses on investing in early-stage biotech and manufacturing companies, with investments ranging from $250,000 to $5 million. As part of PDS Multinational Group, which operates 31 offices in 18 countries and manages supply chains for major global brands, PDS Ventures offers expertise in custom product design, development, and supply chain management. Notable investments include Sparxell.  The firm's investment strategy emphasizes supporting startups in enhancing their operations and growth by leveraging PDS Limited's extensive network and resources. PDS Ventures aims to foster innovation and sustainability within the industries it invests in, aligning with PDS Limited's commitment to inclusive economic growth and environmental responsibility.  PDS Ventures is headquartered in Mumbai, Maharashtra, India, and operates globally, reflecting PDS Limited's presence in over 22 countries. The firm is led by Pallak Seth, Executive Vice Chairman of PDS Limited, who has over 20 years of experience in fashion manufacturing, sourcing, and the investment ecosystem. Under his leadership, PDS Ventures has deployed $20 million across more than 55 startups and institutional funds, demonstrating a strong track record in supporting early-stage companies.  PDS Ventures' investment philosophy centers on collaboration, technology, innovation, and sustainability, aiming to deliver the latest in sustainable products and technologies to its customers and suppliers. The firm seeks to back young, bright founders and provide them with the benefit of the PDS platform, fostering a robust venture ecosystem focused on innovation and growth.  For more information, PDS Ventures can be contacted via email at investors@pdsltd.com or by phone at +91 22 41441100. The firm's official website is https://pdsltd.com/.</t>
  </si>
  <si>
    <t>Technology, Consumer Goods, Finance, Retail, E-commerce, Logistics, Sustainability, Design, Marketing, Supply Chain Management, Sales, Branding, Product Development, Apparel Manufacturing, Sourcing</t>
  </si>
  <si>
    <t>United States, United Kingdom, Germany, Japan, Australia, Singapore, China, India, France, Italy, Spain, Indonesia, South Korea, Pakistan, Bangladesh, Vietnam, Malaysia, New Zealand, Philippines, Thailand, Sri Lanka</t>
  </si>
  <si>
    <t>Arcane Crypto</t>
  </si>
  <si>
    <t>Munkedamsveien 45, Oslo</t>
  </si>
  <si>
    <t>Oslo</t>
  </si>
  <si>
    <t>NO</t>
  </si>
  <si>
    <t>https://arcane.no/</t>
  </si>
  <si>
    <t>ir@arcanecrypto.no</t>
  </si>
  <si>
    <t>Arcane Crypto is a Norwegian investment and trading company specializing in cryptocurrency and blockchain infrastructure. The company develops and invests in projects that focus on digital assets, operating a portfolio of businesses spanning the value chain for digital finance. Their services target payments, investment, and trading, with a media and research division. Arcane Crypto aims to become a leading player in the digital assets space by growing existing businesses, investing in cutting-edge projects, and pursuing acquisitions and consolidation.    The company's portfolio includes full ownership of K33, a research-led digital assets brokerage serving EMEA clients, Arcane Green Data, an eco-friendly Bitcoin mining operation in northern Norway, and minority stakes in both Puremarkets Ltd, a digital currency interbank OTC market, and LN Markets, a Bitcoin exchange leveraging the Lightning Network. Arcane Crypto is listed on Nasdaq First North Growth Market.    Arcane Crypto's ambition is to become a leading player in the digital assets space by growing existing businesses, investing in cutting-edge projects, and pursuing acquisitions and consolidation. The company operates a diversified portfolio of businesses, spanning the value chain for digital finance, and delivers services targeting payments, investment, and trading, in addition to having a media and research division.    Arcane Crypto is listed on Nasdaq First North Growth Market and Mangold Fondkommission is Certified Adviser, tel. +46 8 5030 1550, e-mail: ca@mangold.se, web: www.mangold.se.</t>
  </si>
  <si>
    <t>Financial Services, Technology, Media, Investment Management, Research, FinTech, Cryptocurrency, Blockchain, Trading, Software Development, Fund Management, Payment Solutions, Interbank Brokerage, Media and Research, Infrastructure Solutions</t>
  </si>
  <si>
    <t>United States, United Kingdom, China, United Arab Emirates, Pakistan, Sweden, Norway</t>
  </si>
  <si>
    <t>Focus on cryptocurrency and blockchain infrastructure projects, Early-stage to growth-stage investments, Geographical focus on Norway, Sweden, United Kingdom, United States, China, Pakistan, and United Arab Emirates, Interest in financial services, FinTech, media, research, technology, and related industries</t>
  </si>
  <si>
    <t>K33, Arcane Green Data, Puremarkets Ltd, LN Markets</t>
  </si>
  <si>
    <t>Sirdab Lab</t>
  </si>
  <si>
    <t>Ground Floor of Dasman Complex, Kuwait City</t>
  </si>
  <si>
    <t>Capital Governorate</t>
  </si>
  <si>
    <t>https://sirdab-lab.com/</t>
  </si>
  <si>
    <t>https://www.linkedin.com/company/sirdab-lab</t>
  </si>
  <si>
    <t>info@sirdab-lab.com</t>
  </si>
  <si>
    <t>+965 9776 8939</t>
  </si>
  <si>
    <t>Sirdab Lab is a Kuwaiti venture capital firm dedicated to empowering early-stage technology startups across the MENA region. By providing essential resources such as co-working spaces, mentorship, and access to funding, Sirdab Lab aims to foster innovation and growth among aspiring entrepreneurs. Their comprehensive support system is designed to help startups develop and scale their digital products effectively.    The firm focuses on a diverse range of sectors, including technology, healthcare, fintech, e-commerce, and more. They invest in companies at various stages, from seed to growth, offering tailored support to meet the unique needs of each startup. Sirdab Lab's strategic approach emphasizes collaboration, education, and community engagement to drive success.    With a strong presence in Kuwait and an expanding footprint across the MENA region, Sirdab Lab has established itself as a key player in the entrepreneurial ecosystem. Their commitment to nurturing startups is evident through their active involvement in events, workshops, and programs that promote knowledge sharing and networking among founders and investors.</t>
  </si>
  <si>
    <t>Technology, Healthcare, Energy, Consumer Goods, Real Estate, Media, Education, EdTech, FinTech, E-commerce, Logistics, Transportation, Entertainment, Agtech, Tourism</t>
  </si>
  <si>
    <t>India, United Arab Emirates, Indonesia, Saudi Arabia, Qatar, Kuwait, Oman, Egypt, Lebanon, Bahrain, Turkey, Pakistan, Jordan, Bangladesh, Vietnam, Malaysia, Philippines, Thailand, Myanmar, Cambodia</t>
  </si>
  <si>
    <t>Innovative technology solutions, Scalable business models, Strong founding teams, Clear market potential, Commitment to growth and development</t>
  </si>
  <si>
    <t>Talabat.com, Chocolateness, Al Majed for Oud, Al Hatab Bakery, Nupco, أروماتيك</t>
  </si>
  <si>
    <t>Sijam Ventures</t>
  </si>
  <si>
    <t>KBT Tower – Kuwait City</t>
  </si>
  <si>
    <t>https://sijamv.com/</t>
  </si>
  <si>
    <t>https://www.linkedin.com/company/sijam-ar?trk=ppro_cprof</t>
  </si>
  <si>
    <t>info@sijamv.com</t>
  </si>
  <si>
    <t>Sijam Ventures is a Kuwaiti venture capital firm that focuses on investing in early-stage technology companies exhibiting high growth potential. The firm is dedicated to fostering innovation and supporting startups through strategic partnerships and investments. Their portfolio includes companies across various sectors, including education technology, artificial intelligence, software development, and e-commerce.  The firm's investment strategy emphasizes sectors such as education technology, artificial intelligence, software development, e-commerce, and FinTech. Sijam Ventures primarily targets seed and Series A funding stages, aiming to support startups in their early development phases. Their geographical focus spans across the Middle East and North Africa (MENA) region, including countries like Kuwait, United Arab Emirates, Saudi Arabia, Jordan, Egypt, Kenya, and Pakistan.  Sijam Ventures has demonstrated a commitment to nurturing innovation and supporting startups through its strategic partnerships with global investors, including 500 Global, Abdullah Al-Zabin, KISP Ventures, Sharq Ventures, and Sirdab Lab. Notably, the firm's diverse portfolio reflects its dedication to identifying and nurturing promising ventures, positioning it as a key player in driving technological advancements. Sijam Ventures' forward-looking investment philosophy and successful track record underscore its pivotal role in shaping the entrepreneurial landscape in Kuwait and beyond.</t>
  </si>
  <si>
    <t>Consumer Goods, Media, Retail, HealthTech, FinTech, E-commerce, Logistics, Transportation, Artificial Intelligence, Food and Beverage, Entertainment, Proptech, Education Technology, Tourism, Software Development</t>
  </si>
  <si>
    <t>United Arab Emirates, Kenya, Saudi Arabia, Kuwait, Egypt, Pakistan, Jordan</t>
  </si>
  <si>
    <t>Innovative business models, Scalable solutions, Strong management teams, Clear market demand, Competitive advantage</t>
  </si>
  <si>
    <t>CODED, Vitrina A.I.</t>
  </si>
  <si>
    <t>Wings Capital Ventures</t>
  </si>
  <si>
    <t>Unit F, 21/F, Fortis Tower, 77 Gloucester Road, Wan Chai, Hong Kong</t>
  </si>
  <si>
    <t>https://wingscv.com/</t>
  </si>
  <si>
    <t>https://www.linkedin.com/company/wings-capital-ventures/</t>
  </si>
  <si>
    <t>info@wingscv.com</t>
  </si>
  <si>
    <t>Wings Capital Ventures is a Hong Kong-based venture capital firm specializing in early-stage investments in the FinTech and AI sectors. The firm focuses on startups with the potential for regional expansion, particularly in Southeast Asia. Their investment strategy encompasses seed to Series A funding, providing comprehensive support to propel young companies toward their full potential.    The firm seeks out ambitious, astute, and driven entrepreneurs with industry expertise and a hunger for innovation. Their meticulous due diligence process assesses investments based on industry trends, business models, management teams, execution plans, and exit strategies. By combining industry expertise with groundbreaking innovation and technology, they empower these trailblazers to address real-world challenges and reshape the future of finance.    With an unrivaled knowledge of Hong Kong's financial landscape, a track record of success, and extensive industry connections, Wings Capital Ventures propels startups to triumph. Together, they shape the future of finance and maximize their potential for success.</t>
  </si>
  <si>
    <t>Consumer Goods, Media, Retail, Software, HealthTech, EdTech, FinTech, E-commerce, Logistics, Artificial Intelligence, Blockchain, AgriTech, Entertainment, Cybersecurity, Proptech</t>
  </si>
  <si>
    <t>Hong Kong, Japan, Singapore, China, India, Indonesia, South Korea, Pakistan, Bangladesh, Vietnam, Malaysia, Philippines, Thailand, Maldives, Sri Lanka, Nepal, Myanmar, Cambodia, Laos, Brunei, Timor-Leste</t>
  </si>
  <si>
    <t>Innovative business models, Scalable growth potential, Strong management teams, Clear exit strategies, Alignment with FinTech and AI sectors, Focus on Southeast Asian markets</t>
  </si>
  <si>
    <t>Neufast, MediConCen, Lendela, Dayta AI</t>
  </si>
  <si>
    <t>Wavemaker Ventures</t>
  </si>
  <si>
    <t>1333 2nd St, Santa Monica, California 90401, US</t>
  </si>
  <si>
    <t>https://wavemaker.vc</t>
  </si>
  <si>
    <t>https://www.linkedin.com/company/wavemakerpartners/</t>
  </si>
  <si>
    <t>pitchsea@wavemaker.vc</t>
  </si>
  <si>
    <t>Wavemaker Ventures is a prominent early-stage venture capital firm focusing on Enterprise, Deep Tech, and Sustainability sectors. With over 200 companies in its portfolio and US$500 million in assets under management, the firm is dedicated to supporting innovative solutions that address significant regional challenges and contribute to the UN Sustainable Development Goals.    The firm's investment strategy emphasizes backing undervalued companies with innovative solutions to meaningful problems in the region. Wavemaker Ventures has a strong presence in Southeast Asia, with offices in Singapore and Indonesia, and has expanded its reach to the United States, particularly in California. The firm has invested in various sectors, including affordable housing, e-commerce, and cybersecurity, and has received multiple industry awards for excellence in venture capital.    Wavemaker Ventures is known for its partnership approach, nurturing authentic, bold, and resilient entrepreneurs. The firm's founders possess unique industry and technology insights, which they leverage to build scalable, defensible businesses that drive lasting positive change in their communities. Their portfolio includes companies like Atomionics, Sprout Solutions, and GoZayaan, demonstrating a commitment to impactful and sustainable ventures.</t>
  </si>
  <si>
    <t>United States, Hong Kong, Japan, Australia, Singapore, China, India, Indonesia, South Korea, Pakistan, Bangladesh, Vietnam, Malaysia, New Zealand, Philippines, Thailand, Taiwan, Sri Lanka, Myanmar, Laos</t>
  </si>
  <si>
    <t>Innovative solutions addressing significant regional challenges, Alignment with UN Sustainable Development Goals, Scalable and defensible business models, Experienced and resilient founding teams</t>
  </si>
  <si>
    <t>Atomionics, Sprout Solutions, GoZayaan, Neufast, TAC Index, Baltic Exchange, 10Ants Enterprise, Arysun, Nūl, Zentide</t>
  </si>
  <si>
    <t>Earlsfield Capital</t>
  </si>
  <si>
    <t>43 Berkeley Square, London</t>
  </si>
  <si>
    <t>https://earlsfieldcapital.com/</t>
  </si>
  <si>
    <t>harsh@earlsfieldcapital.com</t>
  </si>
  <si>
    <t>+44 (0) 7727 622881</t>
  </si>
  <si>
    <t>Earlsfield Capital is a London-based venture capital firm investing in early-stage technology companies across India and Southeast Asia. The firm focuses on sectors undergoing mass digital transformation, including financial services, healthcare, education, agriculture, logistics, supply chain, and SaaS. Earlsfield Capital partners with founders who have the vision and execution capabilities to address significant market gaps through technology-driven solutions.    The firm's investment strategy is disciplined and process-driven, involving the identification of future trends and opportunities within each focus sector. Post-investment, Earlsfield Capital dedicates time and resources to support portfolio companies with core enablers of growth, such as scaling technology, hiring top talent, and facilitating follow-on fundraising. The team comprises experienced professionals with an entrepreneurial mindset, enabling them to effectively nurture and scale organizations across various growth stages.    Earlsfield Capital has made over 25 strategic investments in sectors like financial technology, healthcare technology, education technology, agricultural technology, logistics, and SaaS. The firm is committed to responsible investing, focusing on sectors that have a pressing need for deep impact, such as financial inclusion, job creation, and improving lives through technology. Their investments aim to create mass impact across the value chain and make a fundamental difference to people's lives in the regions they serve.</t>
  </si>
  <si>
    <t>Financial Services, Technology, Healthcare, Education, Agriculture, Logistics, SaaS, Supply Chain</t>
  </si>
  <si>
    <t>Technology-driven solutions addressing significant market gaps, Founders with vision and execution capabilities, Sectors undergoing mass digital transformation</t>
  </si>
  <si>
    <t>VantedgeAI</t>
  </si>
  <si>
    <t>Resolution Ventures</t>
  </si>
  <si>
    <t>Parkview Square #10-11 600 Northbridge Road Singapore 188778</t>
  </si>
  <si>
    <t>https://www.resolution.ventures/</t>
  </si>
  <si>
    <t>https://www.linkedin.com/company/resolution-ventures</t>
  </si>
  <si>
    <t>info@resolution.ventures</t>
  </si>
  <si>
    <t>+65 9109 6766</t>
  </si>
  <si>
    <t>Resolution Ventures is a venture capital firm investing in early-stage fintech companies in Southeast Asia. The firm focuses on solutions that address immediate problems related to financial inclusion and the financial infrastructure in the region, aiming to develop technologies that can be exported globally. Resolution Ventures seeks to back founders with international ambitions who are tackling audacious goals on a global scale.    The firm operates in countries including Singapore, Malaysia, Vietnam, Indonesia, Thailand, the Philippines, Myanmar, Laos, Cambodia, Brunei, Timor-Leste, Australia, New Zealand, Japan, South Korea, China, India, Bangladesh, Pakistan, Nepal, and Sri Lanka. Resolution Ventures invests in seed to Series A stages, with typical investment sizes ranging from $1 million to $10 million. The firm's portfolio includes companies such as Glider, an Australian-based payment communications platform, and STAG, a Vietnamese wealth management startup.    Resolution Ventures' investment strategy emphasizes backing companies that use technology to improve working lives, focusing on accessible and affordable solutions that can scale to reach hundreds of thousands of workers. The firm evaluates potential investments based on clear social impact, innovative technology, accessibility, scalability, sustainable business models, and measurable outcomes. Their portfolio spans multiple sectors where technology can improve work quality, including hospitality, care, retail, delivery, construction, and personal services, specifically targeting low-paid workers, workers in precarious employment, and those lacking voice and representation.</t>
  </si>
  <si>
    <t>Financial Services, Technology, Infrastructure, Wealth Management, FinTech, E-commerce, Financial Inclusion, Digitalization, Financial Education, Capital Markets, Innovation, Digital Payments, Financial Literacy, Regulatory Technology, Talent Development</t>
  </si>
  <si>
    <t>Lightsmith Group</t>
  </si>
  <si>
    <t>300 Park Ave, New York, NY 10022</t>
  </si>
  <si>
    <t>https://lightsmithgp.com/</t>
  </si>
  <si>
    <t>info@lightsmithgp.com</t>
  </si>
  <si>
    <t>+1 917-930-6003</t>
  </si>
  <si>
    <t>Lightsmith Group is a sustainable private equity firm that focuses on investing in growth-stage companies addressing critical societal needs. Their investment strategy aims to generate attractive financial returns by partnering with companies that provide technology-enabled business services and solutions in areas such as energy, water, food and agriculture, and climate resilience. By supporting these companies, Lightsmith Group seeks to scale their solutions globally, contributing to sustainable development and climate adaptation efforts.  The firm has a diverse geographical focus, investing in regions including the United States, India, Luxembourg, Germany, China, Singapore, South Korea, Japan, Brazil, Mexico, South Africa, Kenya, Nigeria, Indonesia, the Philippines, Vietnam, Thailand, Malaysia, Bangladesh, and Pakistan. This broad reach allows Lightsmith Group to address a wide range of societal challenges and opportunities across different markets.  Lightsmith Group's portfolio includes companies like SOURCE Global, which specializes in water harvesting technology, and WayCool Foods, an India-based agriculture and food supply chain services company. These investments reflect the firm's commitment to supporting innovative solutions that enhance climate resilience and adaptation, aiming to deliver both financial returns and positive societal impact.</t>
  </si>
  <si>
    <t>ESG and Impact Investing, Private Equity</t>
  </si>
  <si>
    <t>Financial Services, Technology, Healthcare, Energy, Consumer Goods, Real Estate, Infrastructure, Retail, Education, Transportation, Construction, Manufacturing, Food and Agriculture, Water, Climate Resilience</t>
  </si>
  <si>
    <t>United States, Germany, Japan, Singapore, China, India, Brazil, Mexico, Indonesia, Kenya, Luxembourg, South Korea, Pakistan, Bangladesh, South Africa, Vietnam, Malaysia, Philippines, Thailand, Nigeria</t>
  </si>
  <si>
    <t>Accion Frontier Inclusion Fund</t>
  </si>
  <si>
    <t>https://www.accion.org/frontier</t>
  </si>
  <si>
    <t>media@accion.org</t>
  </si>
  <si>
    <t>The Accion Frontier Inclusion Fund is a global venture capital fund dedicated to investing in early-stage companies that offer innovative financial services to underserved populations worldwide. The fund focuses on promoting financial inclusion by supporting businesses that leverage technology to provide accessible and affordable financial solutions to individuals and communities lacking access to traditional banking services.    Managed by Quona Capital, the fund targets investments in emerging markets across sub-Saharan Africa, Latin America, and Asia, with a particular emphasis on regions such as India and Southeast Asia. It seeks to empower entrepreneurs and startups that are developing scalable and sustainable business models aimed at addressing the unique challenges faced by underserved populations in these regions.    By investing in a diverse portfolio of companies, the Accion Frontier Inclusion Fund aims to drive positive social impact while achieving competitive financial returns. The fund's strategic approach includes providing not only capital but also strategic guidance and governance to accelerate the growth of its portfolio companies, thereby contributing to the broader goal of fostering inclusive economic development globally.</t>
  </si>
  <si>
    <t>Financial Services, Healthcare, Energy, Real Estate, Media, Education, Agriculture, FinTech, E-commerce, Logistics, Transportation, Blockchain, Hospitality, InsurTech, Entertainment, Microfinance, Tourism, Lending, RegTech, Digital Payments</t>
  </si>
  <si>
    <t>United States, India, Brazil, Mexico, Indonesia, Kenya, Egypt, Morocco, Pakistan, Bangladesh, South Africa, Vietnam, Philippines, Thailand, Nigeria, Colombia, Peru, Myanmar, Cambodia, Laos</t>
  </si>
  <si>
    <t>Innovative financial solutions, Scalable business models, Focus on underserved populations, Emerging market presence, Technology-driven approaches</t>
  </si>
  <si>
    <t>Benevolent, Branch, CureMetrix, d.light, Fawry, Finbox, Jumo, Kiva, LenddoEFL, M-KOPA, Migo, M-KOPA Solar, M-KOPA Energy, M-KOPA Finance, M-KOPA Health, M-KOPA Education, M-KOPA Mobility, M-KOPA Insurance, M-KOPA Payments, M-KOPA Ventures</t>
  </si>
  <si>
    <t>Saison Ventures</t>
  </si>
  <si>
    <t>Tokyo, Japan</t>
  </si>
  <si>
    <t>https://www.saisoncard.co.jp/saison-ventures/</t>
  </si>
  <si>
    <t>saison-ventures@cs.saisoncard.co.jp</t>
  </si>
  <si>
    <t>Saison Ventures is a venture capital firm established to support corporate growth by investing in innovative business models and technologies through startup companies.    The firm focuses on early-stage investments, particularly in sectors such as fintech, e-commerce, and web3, with a geographical emphasis on Japan, India, and Southeast Asia.    Saison Ventures is the investment arm of Credit Saison, a financial services conglomerate with a significant presence across Japan, India, Southeast Asia, and Latin America, enabling the firm to leverage extensive resources and networks to support its portfolio companies.</t>
  </si>
  <si>
    <t>Finance, Software, FinTech, E-commerce, Internet, Web3</t>
  </si>
  <si>
    <t>Japan, Singapore, China, India, Brazil, Mexico, Indonesia, Pakistan, Vietnam, Philippines, Thailand, Nigeria, Cambodia</t>
  </si>
  <si>
    <t>Innovative business models, High growth potential, Early-stage companies</t>
  </si>
  <si>
    <t>KENZO, Inc., Pathfinder, Inc., THE RICH, Inc., eMoBi, Inc., PECOFREE, Inc.</t>
  </si>
  <si>
    <t>Kejora Capital</t>
  </si>
  <si>
    <t>Wisma Barito Pacific, M Floor, Jl. Letjen S. Parman Kav. 62-63, Jakarta, 11410, Indonesia</t>
  </si>
  <si>
    <t>https://www.kejorahq.com/</t>
  </si>
  <si>
    <t>contact@kejorahq.com</t>
  </si>
  <si>
    <t>+62 2153660543</t>
  </si>
  <si>
    <t xml:space="preserve">Kejora Capital is a Jakarta-based venture capital firm that invests in early-stage startups across Southeast Asia. Since its inception in 2014, the firm has focused on supporting founders and businesses in the region, offering more than just financial investments. Kejora Capital provides a solid regional network, valuable experience, and local market insights to help companies succeed.  The firm's investment strategy is hands-on, aiming to build transformative ventures that bring positive impacts to the world. Kejora Capital is a full-lifecycle fund, participating in multiple investment rounds from seed to harvest. Their approach is ecosystem-focused, building strong synergies between portfolio companies and solidified through partnerships with strategic corporations.  Kejora Capital is highly selective in its investments, conducting extensive research and scrutiny on the sectors it invests in. This diligence ensures that each company receives the attention and support it deserves, helping them thrive at every stage of their development. The firm's portfolio includes a wide range of industry-leading companies shaping the future of their respective fields and the economy at scale.  </t>
  </si>
  <si>
    <t>Financial Services, Technology, Healthcare, Real Estate, Media, Retail, Software, Education, Agriculture, Transportation, Consumer Services, Mobile, Travel, Digital Marketing, Internet Services</t>
  </si>
  <si>
    <t>Hong Kong, Japan, Australia, Singapore, China, India, Indonesia, South Korea, Pakistan, Vietnam, Mongolia, Malaysia, Philippines, Thailand, Taiwan, Myanmar, Cambodia, Laos, Brunei, Timor-Leste</t>
  </si>
  <si>
    <t>Early-stage and growth-stage companies in information technology, internet-enabled, and related markets with high growth potential, primarily operating in Indonesia and Southeast Asia.</t>
  </si>
  <si>
    <t>SiCepat Ekspres, Pinkfong, Swap Energy, Kedaipangan, Aerodyne, Kredivo, Gushcloud, Ohora</t>
  </si>
  <si>
    <t>GSV Ventures</t>
  </si>
  <si>
    <t>875 North Michigan Ave. Suite 3740, Chicago, IL 60611</t>
  </si>
  <si>
    <t>https://gsv.ventures/</t>
  </si>
  <si>
    <t>https://www.linkedin.com/company/gsvventures</t>
  </si>
  <si>
    <t>info@gsv.com</t>
  </si>
  <si>
    <t>(415) 757-5634</t>
  </si>
  <si>
    <t xml:space="preserve">GSV Ventures is a venture capital firm investing in education technology companies across various stages and sectors.    The firm focuses on sectors such as education technology, artificial intelligence, fintech, HR tech, and software, investing in companies at seed, early, and growth stages.    GSV Ventures has a track record of investing in high-growth, venture-backed private companies, with a disciplined investment approach and a portfolio that includes notable companies in the education technology sector.    </t>
  </si>
  <si>
    <t>Seed, Series A, Series B, Growth, Late Stage, Early Stage, Pre-IPO</t>
  </si>
  <si>
    <t>Software, EdTech, FinTech, Artificial Intelligence, HRtech, Education Technology, Higher Education, Vocational Training, E-Learning, Learning Management Systems, Online Education, Corporate Training, Digital Learning, Educational Content, Language Learning, K-12 Education, Test Preparation, Tutoring Services, Skill Development</t>
  </si>
  <si>
    <t>United States, United Kingdom, Canada, Germany, Japan, Australia, Singapore, China, India, Brazil, France, Mexico, Indonesia, South Korea, Pakistan, South Africa, Vietnam, Malaysia, Philippines, Thailand</t>
  </si>
  <si>
    <t>Innovative education technology solutions, Scalable business models, Strong management teams</t>
  </si>
  <si>
    <t>Coursera, Duolingo, Khan Academy, MasterClass, Skillshare</t>
  </si>
  <si>
    <t>CrossFund</t>
  </si>
  <si>
    <t>https://www.crossfund.com</t>
  </si>
  <si>
    <t>https://www.linkedin.com/company/crossfund/</t>
  </si>
  <si>
    <t>info@crossfund.com</t>
  </si>
  <si>
    <t xml:space="preserve">CrossFund is a Singapore-based venture capital firm that specializes in early-stage investments in technology startups from emerging markets. Founded in 2021, the firm has rapidly established itself as a leading platform for connecting accredited investors with high-potential startups in Southeast Asia and beyond. By leveraging artificial intelligence, CrossFund efficiently matches investors with startups based on sector, stage, geography, and other factors, streamlining the investment process and fostering cross-border collaborations.    The firm's investment strategy focuses on sectors such as FinTech, E-commerce, HealthTech, EdTech, AgriTech, Logistics, Media, Consumer Goods, Enterprise Software, Artificial Intelligence, Blockchain, Cybersecurity, CleanTech, and PropTech. CrossFund's geographical focus spans countries including Singapore, the United States, Vietnam, Indonesia, the Philippines, Malaysia, Thailand, India, Pakistan, Bangladesh, Sri Lanka, Nepal, Afghanistan, Myanmar, Cambodia, Laos, Brunei, the Maldives, Bhutan, and Timor-Leste. This extensive reach enables the firm to tap into diverse markets and identify promising startups with high growth potential.    Since its inception, CrossFund has achieved significant milestones, including raising over $40 million across 80 investments and building a network of 15,000 accredited investors. The firm has also celebrated its first exit to a NASDAQ-listed company, underscoring its ability to identify and support successful ventures. CrossFund's commitment to innovation and its data-driven approach have positioned it as a key player in the venture capital landscape, driving economic growth and technological advancement in emerging markets.    </t>
  </si>
  <si>
    <t>Technology, Consumer Goods, Media, HealthTech, EdTech, FinTech, E-commerce, Logistics, Artificial Intelligence, Blockchain, AgriTech, Cybersecurity, Proptech, Cleantech, Enterprise Software</t>
  </si>
  <si>
    <t>United States, Singapore, India, Indonesia, Pakistan, Bangladesh, Vietnam, Malaysia, Afghanistan, Philippines, Thailand, Maldives, Sri Lanka, Nepal, Bhutan, Myanmar, Cambodia, Laos, Brunei, Timor-Leste</t>
  </si>
  <si>
    <t>Accredited investors, Focus on early-stage tech startups, Interest in emerging markets</t>
  </si>
  <si>
    <t>Crimson Seed Capital</t>
  </si>
  <si>
    <t>Medford, Massachusetts</t>
  </si>
  <si>
    <t>https://www.crimsonseedcapital.com</t>
  </si>
  <si>
    <t>info@crimsonseedcapital.com</t>
  </si>
  <si>
    <t>+1 (617) 968-0610</t>
  </si>
  <si>
    <t>Crimson Seed Capital is a venture capital firm specializing in seed and early-stage investments across a diverse range of industries, including biotechnology, e-commerce, internet, information technology, food and beverage, health care, education, pharmaceutical, mHealth, and organic sectors. The firm has a global investment footprint, with active investments in the United States, Pakistan, Israel, and Chile. Their portfolio includes companies such as Adjoint, Britestream Networks, Flying SpArk, Startup Genome, and Suckmysocks. The firm has made a total of 26 investments, with an average round size of $1 million and four exits. Their investment strategy emphasizes supporting innovative startups in their early stages, providing them with the necessary capital and resources to scale and succeed in their respective markets. Crimson Seed Capital's approach is characterized by a hands-on involvement in the growth and development of its portfolio companies, leveraging its extensive network and industry expertise to drive value creation. The firm's track record reflects a commitment to fostering entrepreneurship and innovation across multiple sectors and regions, aiming to deliver substantial returns while contributing to the broader economic development of the areas they invest in. Their portfolio companies span various industries, demonstrating a versatile investment approach that adapts to emerging trends and market demands. This diversified strategy enables Crimson Seed Capital to mitigate risks and capitalize on opportunities across different sectors and geographies, aligning with their mission to support high-potential startups in achieving sustainable growth and success.</t>
  </si>
  <si>
    <t>Education, E-commerce, Health Care, Food and Beverage, Internet, Information Technology, Biotechnology, Pharmaceutical, mHealth, Organic</t>
  </si>
  <si>
    <t>United States, Pakistan, Israel, Chile</t>
  </si>
  <si>
    <t>Sistema Asia Capital</t>
  </si>
  <si>
    <t>77 Ayer Rajah Crescent #03-32 Singapore</t>
  </si>
  <si>
    <t>https://www.sistemaasiacapital.com</t>
  </si>
  <si>
    <t>info@sistemaasiacapital.com</t>
  </si>
  <si>
    <t>+65 6909 1320</t>
  </si>
  <si>
    <t>Sistema Asia Capital is a Singapore-based venture capital firm that focuses on investing in early-stage companies across Asia. The firm is a Registered Fund Management Company with the Monetary Authority of Singapore and primarily invests in growth-stage and mid-stage technology companies in India and Southeast Asia.    The firm's investment strategy emphasizes sectors such as technology, healthcare, consumer goods, financial services, education, media, telecommunications, energy, logistics, agriculture, real estate, retail, transportation, manufacturing, and tourism. Sistema Asia Capital seeks to support companies that demonstrate strong growth potential and are positioned to capitalize on emerging market opportunities.    With a dedicated team of professionals, Sistema Asia Capital leverages its expertise and network to provide strategic guidance and resources to its portfolio companies, aiming to foster innovation and drive sustainable growth in the region.</t>
  </si>
  <si>
    <t>Strong growth potential, Innovative business models, Experienced management teams, Scalable operations, Market leadership potential</t>
  </si>
  <si>
    <t>Carousell, Zalora, RedDoorz, Razer, Love, Bonito, Klook, Naiise, Honestbee, PatSnap, Shopback, Lazada, Grab, Gojek, Sea Group, Bukalapak, Tokopedia, Traveloka, OYO Rooms, Zilingo</t>
  </si>
  <si>
    <t>ABC Impact</t>
  </si>
  <si>
    <t>https://www.abcimpact.com.sg</t>
  </si>
  <si>
    <t>ABC Impact is a private equity firm headquartered in Singapore, focusing on impact investing across Asia. The firm aims to generate positive social and environmental outcomes alongside financial returns by investing in companies that address the region's most pressing challenges. Their portfolio spans various sectors, including technology, healthcare, education, and financial services, with a particular emphasis on sustainable development and social impact.  The firm's investment strategy targets early-stage and growth-stage companies with strong impact intentions, seeking to support businesses that contribute to the United Nations Sustainable Development Goals. ABC Impact employs a proprietary impact measurement and management system integrated into its investment process to monitor performance and ensure that portfolio companies deliver on their impact objectives. This approach reflects a commitment to responsible investing and accountability.  ABC Impact's diverse team brings cross-functional expertise from impact investing, private equity, portfolio management, legal, and non-governmental organizations. This collective experience enables the firm to identify and nurture high-potential businesses that can scale and create meaningful change across the Asia-Pacific region. By leveraging private capital, ABC Impact strives to foster a more sustainable and inclusive future for Asia's communities.</t>
  </si>
  <si>
    <t>Singapore, China, Indonesia, Pakistan, Bangladesh, Vietnam, Mongolia, Malaysia, Afghanistan, Philippines, Thailand, Maldives, Sri Lanka, Nepal, Bhutan, Myanmar, Cambodia, Laos, Brunei, Timor-Leste</t>
  </si>
  <si>
    <t>Impact-driven companies addressing Asia's challenges, Alignment with UN Sustainable Development Goals, Early-stage and growth-stage businesses</t>
  </si>
  <si>
    <t>Chongho Bridge, AC Health, Vistaar Finance</t>
  </si>
  <si>
    <t>Plutus21 Capital</t>
  </si>
  <si>
    <t>6116 N Central Expy, Suite 700, Dallas, TX 75206</t>
  </si>
  <si>
    <t>https://capital.plutus21.com/</t>
  </si>
  <si>
    <t>https://www.linkedin.com/company/plutus21</t>
  </si>
  <si>
    <t>contact@plutus21.com</t>
  </si>
  <si>
    <t>+1 (469) 626-8994</t>
  </si>
  <si>
    <t>Plutus21 Capital is a venture capital firm that focuses on investing in early-stage companies with innovative business models and scalable solutions. The firm is dedicated to identifying and supporting ventures that have the potential to disrupt existing industries and create new markets. Plutus21 Capital's investment approach emphasizes long-term adoption trends, particularly in frontier technologies such as blockchain, artificial intelligence, and financial technologies. By concentrating on these sectors, the firm aims to back companies that are at the forefront of technological advancements and have a strong potential for widespread adoption.  The firm's investment strategy is centered around a comprehensive evaluation of market trends, technological advancements, and the scalability of business models. Plutus21 Capital seeks to partner with entrepreneurs who are developing solutions that address significant challenges and have the capacity to scale rapidly. The firm operates with a global perspective, investing in companies across various regions, including the United States, Pakistan, United Arab Emirates, United Kingdom, India, China, Germany, France, Canada, Australia, Japan, South Korea, Singapore, Brazil, Mexico, South Africa, Nigeria, Egypt, Russia, and Saudi Arabia. This diverse geographical focus allows Plutus21 Capital to tap into a wide range of innovative ideas and market opportunities.  Plutus21 Capital's team comprises professionals with expertise in quantitative analysis, fundamental research, and technology development. The firm's leadership includes Hamiz Awan, Founder and Partner, who serves as the Quant and Technology Lead, and Richard Raizes, Partner and Fundamental Research Lead. Together, they bring a wealth of experience and a shared vision for identifying and nurturing high-potential ventures. The firm's commitment to supporting entrepreneurs is reflected in its active investment approach, providing not only capital but also strategic guidance to help portfolio companies achieve their growth objectives. Plutus21 Capital's focus on frontier technologies and its global investment strategy position it as a significant player in the venture capital landscape, dedicated to fostering innovation and driving the success of emerging companies.</t>
  </si>
  <si>
    <t>United States, United Kingdom, Canada, Germany, Japan, Australia, Singapore, China, India, Brazil, France, United Arab Emirates, Mexico, South Korea, Saudi Arabia, Egypt, Pakistan, South Africa, Russia, Nigeria</t>
  </si>
  <si>
    <t>Access Bridge Ventures</t>
  </si>
  <si>
    <t>Abu Dhabi, United Arab Emirates</t>
  </si>
  <si>
    <t>https://access-bridge.com/</t>
  </si>
  <si>
    <t>Access Bridge Ventures is a pre-Series A venture capital fund with a focus on early-stage investments in the Middle East and North Africa (MENA) region. The fund seeks to support exceptional entrepreneurs by becoming their first institutional investor, often leading funding rounds and providing comprehensive support throughout their journey. Their investment strategy emphasizes sectors such as HealthTech, EduTech, E-commerce, FinTech, and Marketplaces.  The fund's approach is characterized by a hands-on partnership with portfolio companies, leveraging a vast network across the region to add value beyond capital. This includes offering strategic guidance, facilitating key introductions, and ensuring strong governance and operational discipline. Access Bridge Ventures has a track record of investing in companies like Speero, a Saudi-based automotive parts marketplace, and Below, a platform for men's personal hygiene products.  Founded in 2019, Access Bridge Ventures has established itself as a significant player in the MENA venture capital landscape. Backed by prominent investors such as Mubadala Capital, Saudi Venture Capital Company (SVC), and several family offices, the fund has committed to investing in early-stage businesses across the MENA region and Pakistan. Their commitment to the region's entrepreneurial ecosystem is evident through their active participation in various initiatives and their focus on fostering local innovation and growth.</t>
  </si>
  <si>
    <t>HealthTech, FinTech, E-commerce, Marketplaces, EduTech</t>
  </si>
  <si>
    <t>United Arab Emirates, Saudi Arabia, Egypt, Pakistan, Jordan</t>
  </si>
  <si>
    <t>Exceptional leadership, Traction and validation, Capital efficiency, Scalability, Defensibility, Sector leadership and innovation, Unfair advantage, Clear exit path, Superstar team</t>
  </si>
  <si>
    <t>Speero, Below</t>
  </si>
  <si>
    <t>MindWorks Capital</t>
  </si>
  <si>
    <t>8 Cotton Tree Drive, Central, Hong Kong</t>
  </si>
  <si>
    <t>https://www.mindworks.vc/</t>
  </si>
  <si>
    <t>https://www.linkedin.com/company/mindworks-ventures/</t>
  </si>
  <si>
    <t>operations@mindworks.vc</t>
  </si>
  <si>
    <t>MindWorks Capital is a Hong Kong-based venture capital firm investing in early to growth-stage technology companies across Asia. The firm focuses on empowering exceptional founders to build transformational companies that can disrupt traditional industries and create entirely new ecosystems. MindWorks Capital manages capital from university endowments, global asset managers, fund of funds, family offices, and Asia's leading new economy entrepreneurs. The firm utilizes a Pan-Asia strategy to source direct investments in technology companies across both Greater China and Southeast Asia. MindWorks Capital has been recognized by Preqin as a top-performing ASEAN venture capital firm and is a signatory of the United Nations' Principles for Responsible Investment. The firm currently manages over US$1.1 billion in total net asset value across its funds and is a co-investment partner of the Hong Kong government's Innovation and Technology Venture Fund.    The firm's investment strategy focuses on sectors such as logistics, fintech, e-commerce, healthcare, education, media, consumer goods, enterprise software, artificial intelligence, blockchain, cybersecurity, clean energy, agriculture, and transportation. MindWorks Capital invests at various stages, including seed, early stage, Series A, Series B, and growth stages, with investment sizes ranging from US$1 million to US$50 million. The firm's geographical focus includes Hong Kong, China, Indonesia, Malaysia, Philippines, Singapore, Thailand, Vietnam, India, Japan, South Korea, Australia, New Zealand, Taiwan, Bangladesh, Pakistan, Sri Lanka, Nepal, and Myanmar.    MindWorks Capital's team comprises experienced professionals who collaborate closely with exceptional founders to deliver performance for all clients across the region. The management team includes David Chang as Founding Partner, Joe Chan as Managing Partner, Stefanie Fan as Investment Partner, Wayne Chu as Investment Partner, and Wong Hong, CPA, CFA as Chief Financial Officer. The team also includes Huan Liu as Investment Partner, Cassidy Wong as Director, Jeffrey Wu as Director, Margaret Lai as Director, Sid Xu, CFA as Director, Shawn Wang as Director, Barry Wang as Associate, Amber Fung as Accountant, and Goldie Chan as Administrative Manager. The firm's investments are guided by principles of responsible investment, aligning with the United Nations' Principles for Responsible Investment. MindWorks Capital's focus on sectors such as logistics, fintech, e-commerce, healthcare, education, media, consumer goods, enterprise software, artificial intelligence, blockchain, cybersecurity, clean energy, agriculture, and transportation reflects its commitment to supporting innovation and growth in key areas of the economy. The firm's geographical focus on Greater China and Southeast Asia allows it to leverage its regional expertise and network to identify and support high-potential startups across diverse markets. MindWorks Capital's investment strategy is designed to deliver strong returns for its investors while contributing to the development of the technology ecosystem in Asia.</t>
  </si>
  <si>
    <t>Technology, Healthcare, Consumer Goods, Media, Education, Agriculture, FinTech, E-commerce, Logistics, Transportation, Artificial Intelligence, Blockchain, Cybersecurity, Clean Energy, Enterprise Software</t>
  </si>
  <si>
    <t>Exceptional founders capable of disrupting traditional industries and creating new ecosystems.</t>
  </si>
  <si>
    <t>Lalamove, XTransfer, Finture, Panex, Glints</t>
  </si>
  <si>
    <t>AKD Venture Funds Limited</t>
  </si>
  <si>
    <t>216-217 2nd Floor, Continental Trade Center Block -8 Karachi</t>
  </si>
  <si>
    <t>https://www.akdinvestment.com/</t>
  </si>
  <si>
    <t>akdinvestment1@gmail.com</t>
  </si>
  <si>
    <t>03435243456</t>
  </si>
  <si>
    <t>AKD Venture Funds Limited is a prominent venture capital firm based in Karachi, Pakistan, focusing on early-stage investments across a diverse range of sectors. The firm is part of the AKD Group, a diversified conglomerate with interests in financial services, real estate, and infrastructure. AKD Venture Funds Limited leverages the group's extensive network and resources to identify and support high-potential startups and growth-stage companies.  The firm's investment strategy encompasses a broad spectrum of stages, including Seed, Early Stage, Series A, Series B, Growth, Late Stage, Pre-IPO, Buyout, Turnaround, and Distressed investments. This approach allows AKD Venture Funds Limited to provide flexible funding solutions tailored to the unique needs of each portfolio company. The firm's geographical focus is primarily on Pakistan, aiming to foster innovation and entrepreneurship within the country.  AKD Venture Funds Limited has a track record of investing in various industries, such as Technology, Healthcare, Real Estate, Financial Services, Energy, Consumer Goods, Telecommunications, Media, Education, Agriculture, Transportation, Logistics, Manufacturing, Retail, and Hospitality. This diverse portfolio reflects the firm's commitment to supporting a wide array of sectors and contributing to the economic development of Pakistan.  Investment Requirements: - Minimum investment size: $1,000,000 - Maximum investment size: $50,000,000  Year Founded: 2000  Portfolio Companies: []</t>
  </si>
  <si>
    <t>Found. Ventures</t>
  </si>
  <si>
    <t>33 Ubi Avenue 3, Vertex Building, #08-12, Singapore 408868</t>
  </si>
  <si>
    <t>https://fwventures.com.sg</t>
  </si>
  <si>
    <t>fabian@fwventures.com.sg</t>
  </si>
  <si>
    <t>(+65) 9476 1722</t>
  </si>
  <si>
    <t>Found. Ventures is a Singapore-based venture capital firm that focuses on investing in early-stage technology companies across Southeast Asia. The firm aims to support innovative startups by providing capital and strategic guidance to help them scale and succeed in the competitive market. Found. Ventures is committed to fostering the growth of the regional startup ecosystem by identifying and nurturing high-potential companies.  The firm's investment strategy encompasses a wide range of sectors, including technology, healthcare, consumer goods, financial services, education, media, telecommunications, transportation, energy, agriculture, real estate, retail, hospitality, logistics, and manufacturing. This diverse approach allows Found. Ventures to tap into various industries and support startups with unique value propositions. The firm is particularly interested in companies that demonstrate scalability and the potential to make a significant impact in their respective markets.  Found. Ventures typically invests in companies at various stages, from seed to growth, including Series A, Series B, and pre-IPO rounds. The firm is open to a broad geographical focus, encompassing countries such as Singapore, Malaysia, Indonesia, Vietnam, Thailand, the Philippines, Myanmar, Laos, Cambodia, Brunei, Timor-Leste, Australia, New Zealand, Japan, South Korea, China, India, Bangladesh, Pakistan, and Sri Lanka. This extensive reach enables Found. Ventures to identify promising startups across the region and provide them with the necessary resources to thrive in the global market.  The firm's investment philosophy centers on identifying startups with strong leadership teams, innovative business models, and the potential for rapid growth. By leveraging its extensive network and industry expertise, Found. Ventures aims to add value beyond just capital, offering strategic guidance and mentorship to help portfolio companies navigate challenges and capitalize on opportunities. This holistic approach has enabled the firm to build a diverse portfolio of successful startups that have achieved significant milestones and contributed to the advancement of the Southeast Asian startup ecosystem.  In summary, Found. Ventures plays a pivotal role in the Southeast Asian venture capital landscape by supporting early-stage technology companies with the resources and expertise needed to succeed. Its broad investment focus, commitment to innovation, and strategic approach make it a key player in fostering the growth of the regional startup ecosystem and driving economic development across the region.</t>
  </si>
  <si>
    <t>Japan, Australia, Singapore, China, India, Indonesia, South Korea, Pakistan, Bangladesh, Vietnam, Malaysia, New Zealand, Philippines, Thailand, Sri Lanka, Myanmar, Cambodia, Laos, Brunei, Timor-Leste</t>
  </si>
  <si>
    <t>Innovative business model, Scalable operations, Strong leadership team, Potential for rapid growth, Ability to make a significant market impact</t>
  </si>
  <si>
    <t>Carousell, Shopback, 99.co, Burpple, Watch Over Me, NodeFlair, Fynd, BILLZ</t>
  </si>
  <si>
    <t>62 Ventures</t>
  </si>
  <si>
    <t>Chicago, Illinois</t>
  </si>
  <si>
    <t>https://62-ventures.com/</t>
  </si>
  <si>
    <t>glen@transcarent.com</t>
  </si>
  <si>
    <t>62 Ventures is a Chicago-based venture capital firm dedicated to investing in innovative healthcare companies that aim to improve patient outcomes and reduce costs. The firm focuses on early-stage businesses, providing funding from pre-seed through Series C stages. With a global perspective, 62 Ventures primarily invests in companies headquartered in the United States, India, and the Middle East. The firm typically writes checks between $1 million and $10 million and is open to both leading and co-investing in funding rounds.    Led by serial entrepreneur Glen Tullman, CEO of Transcarent and Co-Founder &amp; Managing Partner of 7wireVentures, 62 Ventures brings over 30 years of experience in scaling early-stage companies and building category-defining businesses. The firm's investment strategy emphasizes backing companies that leverage technology to disrupt large industries and create new categories, particularly in sectors such as health and care, education, and environmental sustainability.    62 Ventures takes pride in its portfolio companies, including Khyaal, a super-app for senior citizens in India, and Loop Health, a health insurance broker that integrates primary care physicians, specialty networks, and health insurers under one roof. These investments reflect the firm's commitment to supporting businesses that deliver exceptional customer value and drive positive social impact through innovation and adaptability.</t>
  </si>
  <si>
    <t>Technology, Healthcare, Education, Digital Transformation, Startups, Innovation, Social Impact, Environmental Sustainability, Entrepreneurship, Customer Value, Adaptability, Positive Mindset, Traditional Industries, Business Operations, Global Scaling</t>
  </si>
  <si>
    <t>United States, India, United Arab Emirates, Saudi Arabia, Qatar, Kuwait, Oman, Egypt, Lebanon, Bahrain, Turkey, Pakistan, Jordan, Bangladesh, Afghanistan, Yemen, Israel, Maldives, Sri Lanka, Nepal</t>
  </si>
  <si>
    <t>Innovative solutions in healthcare, Focus on improving patient outcomes, Commitment to reducing healthcare costs, Adaptability and positive mindset, Redefining traditional industries, Delivering exceptional customer value</t>
  </si>
  <si>
    <t>Khyaal, Loop Health</t>
  </si>
  <si>
    <t>Paradigm Co.</t>
  </si>
  <si>
    <t>71 Robinson Road, Singapore</t>
  </si>
  <si>
    <t>https://www.paradigm.co</t>
  </si>
  <si>
    <t>info@paradigm.co</t>
  </si>
  <si>
    <t>Paradigm Co. is a Singapore-based venture capital firm specializing in early-stage technology investments across Asia. The firm focuses on identifying and supporting innovative startups with high growth potential in sectors such as technology, healthcare, and financial services. Paradigm Co. aims to empower entrepreneurs by providing not only capital but also strategic guidance to help them scale their businesses effectively.    The firm's investment strategy is characterized by a hands-on approach, offering operational support and leveraging its extensive network to facilitate business development and market expansion. Paradigm Co. invests across various stages, including seed, early-stage, and growth rounds, with typical investment sizes ranging from $1 million to $50 million. This flexibility allows the firm to cater to the diverse needs of startups at different growth phases.    With a strong presence in key Asian markets, Paradigm Co. is committed to fostering innovation and driving economic growth in the region. Its portfolio includes a diverse array of companies that exemplify the firm's dedication to nurturing high-impact ventures that contribute to the technological advancement and economic development of Asia.</t>
  </si>
  <si>
    <t>Financial Services, Technology, Healthcare, Energy, Consumer Goods, Real Estate, Telecommunications, Media, Retail, Education, Agriculture, Logistics, Transportation, Hospitality, Tourism</t>
  </si>
  <si>
    <t>Japan, Australia, Singapore, China, India, Indonesia, South Korea, Pakistan, Bangladesh, Vietnam, Mongolia, Malaysia, New Zealand, Philippines, Thailand, Sri Lanka, Nepal, Myanmar, Cambodia, Laos</t>
  </si>
  <si>
    <t>Innovative technology solutions, Scalable business models, Strong management teams, Clear market differentiation, Potential for regional or global expansion</t>
  </si>
  <si>
    <t>Skywell Capital Partners</t>
  </si>
  <si>
    <t>Nicosia, Nicosia</t>
  </si>
  <si>
    <t>CY</t>
  </si>
  <si>
    <t>https://www.skywellcapitalpartners.com/</t>
  </si>
  <si>
    <t>https://www.linkedin.com/company/skywell-capital-partners</t>
  </si>
  <si>
    <t>Yoni.blau@skywellcap.com</t>
  </si>
  <si>
    <t>Skywell Capital Partners is a multi-stage venture capital firm that invests in entrepreneurs with visionary ideas around the globe. They focus on supporting groundbreaking and sustainable businesses aiming to change the world. Their portfolio includes companies in sectors such as fintech, SaaS, AI, and marketplaces.    The firm's investment strategy spans various stages, from seed to late-stage funding, including Series A, Series B, growth, and pre-IPO investments. They have a global geographical focus, with investments in countries like the United States, Israel, Cyprus, Colombia, South Korea, Brazil, Germany, China, Indonesia, Thailand, the Philippines, Vietnam, Malaysia, Singapore, India, Pakistan, Bangladesh, Nepal, Sri Lanka, and Afghanistan.    Skywell Capital Partners has a diverse portfolio of companies across multiple industries, including technology, fintech, SaaS, AI, marketplaces, biotech, cleantech, information technology, consumer goods, healthcare, e-commerce, media, telecommunications, transportation, and logistics. Their investment sizes range from $1 million to $50 million, reflecting their commitment to supporting businesses at various stages of growth.</t>
  </si>
  <si>
    <t>Technology, Healthcare, Consumer Goods, Telecommunications, Media, FinTech, E-commerce, Logistics, SaaS, Transportation, Biotech, Information Technology, Marketplaces, Cleantech, AI</t>
  </si>
  <si>
    <t>United States, Germany, Singapore, China, India, Brazil, Indonesia, South Korea, Pakistan, Bangladesh, Vietnam, Malaysia, Afghanistan, Philippines, Israel, Thailand, Cyprus, Colombia, Sri Lanka, Nepal</t>
  </si>
  <si>
    <t>SIG Asia Investment Fund</t>
  </si>
  <si>
    <t>2 Venture Drive, Vision Exchange, Singapore</t>
  </si>
  <si>
    <t>https://www.sigchina.com/en</t>
  </si>
  <si>
    <t>gaole@sigchina.com</t>
  </si>
  <si>
    <t>19102137627</t>
  </si>
  <si>
    <t>SIG Asia Investment Fund is a prominent venture capital firm based in Singapore, specializing in investments within the technology and financial services sectors across Asia. The firm focuses on identifying and supporting innovative companies that demonstrate strong growth potential and align with its strategic objectives. By leveraging its extensive network and market expertise, SIG Asia aims to foster the development of high-impact businesses that can drive economic progress and technological advancement in the region.    The firm's investment strategy encompasses a broad spectrum of industries, including technology, financial services, healthcare, consumer goods, energy, industrial, media, telecommunications, education, transportation, real estate, agriculture, logistics, retail, and hospitality. This diversified approach enables SIG Asia to capitalize on emerging trends and opportunities across various sectors, ensuring a balanced and resilient portfolio. The firm is committed to providing both early and late-stage funding, catering to the unique needs of companies at different growth phases.    SIG Asia's geographical focus spans multiple countries, including China, Singapore, Hong Kong, Japan, South Korea, India, Indonesia, Malaysia, Thailand, the Philippines, Vietnam, Pakistan, Bangladesh, Sri Lanka, Nepal, Myanmar, Afghanistan, the Maldives, Bhutan, and Brunei. This extensive reach allows the firm to tap into diverse markets and support businesses with regional and global aspirations. Through its strategic investments and active involvement, SIG Asia seeks to contribute to the economic development and technological innovation within the Asia-Pacific region.</t>
  </si>
  <si>
    <t>Financial Services, Technology, Healthcare, Energy, Consumer Goods, Real Estate, Telecommunications, Media, Retail, Education, Agriculture, Industrial, Logistics, Transportation, Hospitality</t>
  </si>
  <si>
    <t>Hong Kong, Japan, Singapore, China, India, Indonesia, South Korea, Pakistan, Bangladesh, Vietnam, Malaysia, Afghanistan, Philippines, Thailand, Maldives, Sri Lanka, Nepal, Bhutan, Myanmar, Brunei</t>
  </si>
  <si>
    <t>Strong growth potential, Alignment with strategic objectives, Innovative business models, Scalable operations, Experienced management teams, Clear market differentiation, Sustainable competitive advantages, Ability to generate significant returns, Commitment to corporate governance, Focus on long-term value creation</t>
  </si>
  <si>
    <t>ORZON Ventures</t>
  </si>
  <si>
    <t>151 Chin Swee Road, #07-12, Manhattan House, Singapore 169876</t>
  </si>
  <si>
    <t>https://www.orzon.ventures/</t>
  </si>
  <si>
    <t>https://www.linkedin.com/company/orzon-ventures</t>
  </si>
  <si>
    <t>info@orzon.ventures</t>
  </si>
  <si>
    <t>ORZON Ventures is a growth-stage venture capital firm that invests in early-stage companies across Southeast Asia, focusing on technology and consumer sectors. The firm was established in October 2021 as a joint venture between PTT Oil and Retail Business Public Company Limited (OR) and 500 TukTuks, a subsidiary of 500 Global. ORZON Ventures aims to support high-potential startups in Thailand and neighboring countries by providing capital, access to customers, and integration into OR's extensive ecosystem.  The firm's investment strategy targets Series A to B startups in sectors such as Mobility, Smart Retail, Lifestyle, Health &amp; Wellness, and Travel. By leveraging OR's market leadership in the oil retail industry and 500 TukTuks' experience as a leading venture capital fund in the region, ORZON Ventures seeks to create new S-Curve businesses and foster inclusive growth. The firm offers startups access to OR's large ecosystem, including its 1,967 PTT stations in Thailand, 7 million PTT Blue Card members, and 3,500 Café Amazon shops.  Since its inception, ORZON Ventures has made several strategic investments to bolster the Southeast Asian startup ecosystem. Notable investments include a Pre-Series A funding round in SLEEK EV, a Singapore-based electric vehicle company, and a Series A investment in Hungry Hub, a Thai platform for restaurant and hotel reservations. These investments align with ORZON Ventures' mission to empower Southeast Asian founders and drive innovation in the region.</t>
  </si>
  <si>
    <t>Technology, Consumer, Mobility, Travel, Lifestyle, Health &amp; Wellness, Smart Retail</t>
  </si>
  <si>
    <t>High-potential startups in Southeast Asia, Alignment with ORZON Ventures' focus sectors, Scalable and replicable business models</t>
  </si>
  <si>
    <t>SLEEK EV, Hungry Hub, Pomelo, Carsome, Freshket, GoWabi, Protomate</t>
  </si>
  <si>
    <t>AZer Capital</t>
  </si>
  <si>
    <t>https://www.azer.capital</t>
  </si>
  <si>
    <t>Bussiness@azer.capital</t>
  </si>
  <si>
    <t xml:space="preserve">AZer Capital is a venture capital firm specializing in the discovery and incubation of high-quality early blockchain projects. The firm focuses on providing community media services and in-depth investment research analysis to expand the influence of these projects among investors and media outlets. By leveraging its expertise and network, AZer Capital aims to support the growth and adoption of blockchain technologies across various sectors.  The firm's investment strategy emphasizes early-stage ventures, including seed funding and initial coin offerings (ICOs), targeting innovative blockchain applications in industries such as technology, financial services, media, gaming, and e-commerce. AZer Capital's geographical focus spans across Asia, with a particular emphasis on China, Hong Kong, Singapore, and other Southeast Asian countries, as well as select markets in the United States and South Korea.  AZer Capital's portfolio includes strategic partnerships with projects like Duckie Land, where the firm has provided support through its extensive network and community in Asia. This collaboration aims to foster the development of a robust Play-to-Earn community worldwide, highlighting AZer Capital's commitment to nurturing blockchain-based gaming ecosystems. Through such partnerships, the firm continues to contribute to the growth and diversification of the blockchain industry.  </t>
  </si>
  <si>
    <t>Seed, Early Stage Venture, Initial Coin Offering</t>
  </si>
  <si>
    <t>Financial Services, Technology, Healthcare, Real Estate, Media, Retail, Education, E-commerce, Cryptocurrency, Logistics, Blockchain, Gaming, Manufacturing, Entertainment, Supply Chain</t>
  </si>
  <si>
    <t>United States, Hong Kong, Japan, Singapore, China, India, Indonesia, South Korea, Pakistan, Bangladesh, Vietnam, Malaysia, Afghanistan, Philippines, Thailand, Sri Lanka, Nepal, Myanmar, Cambodia, Laos</t>
  </si>
  <si>
    <t>Innovative blockchain applications, Early-stage ventures, Seed funding, Initial Coin Offerings (ICOs), Focus on scalability and adoption, Alignment with AZer Capital's strategic interests</t>
  </si>
  <si>
    <t>Duckie Land, Monsterra, KLAYDICE</t>
  </si>
  <si>
    <t>Unicorn Factory Ventures</t>
  </si>
  <si>
    <t>https://www.ufventures.com/</t>
  </si>
  <si>
    <t>https://www.linkedin.com/company/uf-ventures</t>
  </si>
  <si>
    <t>hello@ufventures.com</t>
  </si>
  <si>
    <t>Unicorn Factory Ventures is a Dubai-based venture capital firm specializing in early-stage investments in blockchain and cryptocurrency projects. The firm focuses on pre-seed, seed, and Series A funding rounds, aiming to support the development of decentralized technologies and infrastructure. Their investment strategy encompasses a multi-strategy approach, enabling them to identify key value drivers, strategies, and operations within the Web 3 ecosystem. The firm is dedicated to empowering founders to build Web 3 projects, with a particular emphasis on sectors such as infrastructure B2B2C, tools, applications, protocols, and Web 3 content creation. They actively seek opportunities in the Middle East and South Asia regions, including countries like the United Arab Emirates, Qatar, Saudi Arabia, Kuwait, Bahrain, Oman, Jordan, Lebanon, Egypt, Turkey, Pakistan, India, Bangladesh, Sri Lanka, Nepal, Afghanistan, Maldives, Iran, Iraq, Syria, and Yemen. Unicorn Factory Ventures is committed to supporting the growth and scaling of Web 3 projects, aiming to contribute to the development of the digital future. Their portfolio includes investments in companies like Spark, Lemonade, CV PAD, Magic Square, Stroom, Alliance, Lurk Labs, Chainstack, and deBridge. The firm's team comprises experienced professionals with backgrounds in investment banking, finance, business management, and entrepreneurship, including Managing Partner Anton Vasilev, General Partner and Head of Research David Shengart, and Co-Founders Mykhaylo Romanenko, Viktor Kochetov, and Gleb Sanzharevsky. Their collective expertise and entrepreneurial experience enable them to provide valuable support to startups in the blockchain and cryptocurrency sectors. Unicorn Factory Ventures is dedicated to fostering innovation and supporting the growth of Web 3 projects, aiming to make a positive impact on the digital landscape in the Middle East and South Asia regions.</t>
  </si>
  <si>
    <t>Pre-Seed, Seed, Series A</t>
  </si>
  <si>
    <t>Technology, Infrastructure, Software, FinTech, Cryptocurrency, Blockchain, Gaming, Entertainment, DeFi, AI, Social Media, Virtual Events, Messaging Apps, Gaming Industry, Tokenized Real Assets</t>
  </si>
  <si>
    <t>India, United Arab Emirates, Saudi Arabia, Qatar, Kuwait, Oman, Egypt, Lebanon, Bahrain, Turkey, Pakistan, Jordan, Bangladesh, Iraq, Afghanistan, Yemen, Syria, Maldives, Sri Lanka, Nepal, Iran</t>
  </si>
  <si>
    <t>Focus on blockchain and cryptocurrency projects, Early-stage investments (pre-seed, seed, Series A), Geographical focus on Middle East and South Asia regions, Emphasis on sectors such as infrastructure B2B2C, tools, applications, protocols, and Web 3 content creation, Commitment to supporting the development of decentralized technologies and infrastructure</t>
  </si>
  <si>
    <t>Spark, Lemonade, CV PAD, Magic Square, Stroom, Alliance, Lurk Labs, Chainstack, deBridge</t>
  </si>
  <si>
    <t>MoonEdge</t>
  </si>
  <si>
    <t>KY</t>
  </si>
  <si>
    <t>https://moonedge.finance</t>
  </si>
  <si>
    <t>info@moonedge.finance</t>
  </si>
  <si>
    <t>MoonEdge is a venture capital firm specializing in early-stage investments in blockchain and cryptocurrency projects. The firm operates a decentralized launchpad platform designed to support emerging blockchain startups, particularly those within the Polygon ecosystem. By offering a suite of services—including blockchain contract development, Web3 marketing, technical assistance, legal advice, and post-launch consultancy—MoonEdge aims to accelerate the growth and adoption of innovative blockchain solutions.    The firm's investment strategy focuses on identifying and nurturing promising blockchain projects, providing them with the necessary resources and expertise to succeed in the competitive crypto landscape. MoonEdge's approach combines venture capital funding with comprehensive support services, ensuring that portfolio companies are well-equipped to navigate the complexities of the blockchain industry. This holistic support model underscores MoonEdge's commitment to fostering innovation and driving the mass adoption of blockchain technologies.    With a strong emphasis on the Polygon ecosystem, MoonEdge has established itself as a key player in the blockchain investment space. The firm's dedication to early-stage projects reflects its belief in the transformative potential of blockchain technology and its role in shaping the future of various industries. Through strategic investments and hands-on support, MoonEdge continues to contribute to the evolution of the blockchain and cryptocurrency sectors, supporting projects that aim to make a significant impact in the digital economy.</t>
  </si>
  <si>
    <t>Pre-Seed, Seed, Early Stage</t>
  </si>
  <si>
    <t>Technology, Healthcare, Infrastructure, Media, Finance, Software, E-commerce, Cryptocurrency, Artificial Intelligence, Blockchain, Gaming, Entertainment, Cybersecurity, Machine Learning, Data Analytics</t>
  </si>
  <si>
    <t>United States, Singapore, India, Indonesia, South Korea, Pakistan, Bangladesh, Vietnam, Malaysia, Afghanistan, Philippines, Thailand, Cayman Islands, Maldives, Sri Lanka, Nepal, Bhutan, Myanmar, Cambodia, Laos</t>
  </si>
  <si>
    <t>Innovative blockchain and cryptocurrency projects, Early-stage startups, Projects within the Polygon ecosystem</t>
  </si>
  <si>
    <t>Kraken, Linea, Etherex, Gnosis, Aave, Malwarebytes, BENQI, Avalanche, Bitcoin Cash, NodeAI</t>
  </si>
  <si>
    <t>Decart Ventures</t>
  </si>
  <si>
    <t>Larnaca Municipality, Cyprus</t>
  </si>
  <si>
    <t>https://www.decartventures.com/</t>
  </si>
  <si>
    <t>info@decartventures.com</t>
  </si>
  <si>
    <t>Decart Ventures is a globally-oriented venture capital firm investing in early-stage technology companies across various sectors and regions. The firm focuses on identifying innovative solutions with significant growth potential and scalability. They emphasize strong founding teams with proven track records and target industries ripe for disruption with favorable market conditions. Decart Ventures seeks companies with robust unit economics and a clear path to profitability, maintaining a long-term perspective and adaptability in their investment approach. Their portfolio includes companies like Addi, Bazaar, Bnext, Bux, Co-learn, Dr.Treat, Habyt, iSchoolConnect, Jüsto, Krave Mart, Laika, Vitau, Wirestock, and Zero Systems. The team comprises experienced professionals such as Martin Wehnert, Tanya Eves, Sergei Telegin, and Yulia Rogova, each bringing diverse expertise to the firm's operations. Recent investments include Navi AI, Dr. Treat, and Krave Mart, reflecting Decart Ventures' commitment to supporting innovative companies across various sectors and regions.</t>
  </si>
  <si>
    <t>HealthTech, EdTech, FinTech, E-commerce, Logistics, Pharmaceuticals, Proptech, AI, LegalTech, Pet Care</t>
  </si>
  <si>
    <t>United States, Germany, Spain, Mexico, Indonesia, Pakistan, Colombia</t>
  </si>
  <si>
    <t>Strong founding team with proven track record, Innovative solutions with significant growth potential, Robust unit economics and clear path to profitability, Adaptability and long-term perspective</t>
  </si>
  <si>
    <t>Addi, Bazaar, Bnext, Bux, Co-learn, Dr.Treat, Habyt, iSchoolConnect, Jüsto, Krave Mart, LAIKA, Vitau, Wirestock, Zero Systems</t>
  </si>
  <si>
    <t>Hashed Emergent</t>
  </si>
  <si>
    <t>Bangalore, India</t>
  </si>
  <si>
    <t>https://www.hashedem.com/</t>
  </si>
  <si>
    <t>legalem@hashed.com</t>
  </si>
  <si>
    <t>Hashed Emergent is a venture capital firm investing in Web3 startups from emerging markets.    The firm focuses on identifying visionary founders from regions such as India, Africa, the Middle East, and Southeast Asia, providing full-stack support to fuel their success and expand the native Web3 ecosystem to the global stage.    Through strategic partnerships and initiatives, Hashed Emergent aims to foster innovation and drive meaningful blockchain adoption across these regions.</t>
  </si>
  <si>
    <t>Financial Services, Technology, Entertainment, Social, Service &amp; Infra</t>
  </si>
  <si>
    <t>Singapore, India, United Arab Emirates, Indonesia, South Korea, Pakistan, Bangladesh, Vietnam, Malaysia, Afghanistan, Philippines, Thailand, Nigeria, Sri Lanka, Nepal, Myanmar, Cambodia, Laos, Brunei, Timor-Leste</t>
  </si>
  <si>
    <t>Web3 focus, Emerging market founders, Early-stage companies</t>
  </si>
  <si>
    <t>Catalysis, Jia</t>
  </si>
  <si>
    <t>Unitus Equity Fund</t>
  </si>
  <si>
    <t>108 W. 13th Street Suite 100 Wilmington</t>
  </si>
  <si>
    <t>Delaware</t>
  </si>
  <si>
    <t>https://unitus.com/other/unitus-investment-management/</t>
  </si>
  <si>
    <t>info@unitus.com</t>
  </si>
  <si>
    <t>Unitus Equity Fund is a private equity fund that focuses on investing in early-stage microfinance institutions across emerging markets. The fund aims to provide financial and social returns by supporting organizations that offer financial services to underserved populations. Its investments are primarily directed towards microfinance institutions operating in Asia and Latin America, with a particular emphasis on India, Indonesia, the Philippines, Kenya, Uganda, Tanzania, Bangladesh, Pakistan, Sri Lanka, Nepal, Vietnam, Cambodia, Laos, Myanmar, Ethiopia, Ghana, Nigeria, Mexico, Colombia, and Peru.    The fund's investment strategy involves providing equity capital to microfinance institutions that demonstrate strong growth potential and a commitment to serving low-income communities. By investing in these institutions, Unitus Equity Fund seeks to enhance their capacity to deliver financial services to underserved populations, thereby promoting economic self-empowerment and reducing global poverty. The fund's portfolio includes a diverse range of microfinance institutions operating in various sectors, including financial services, technology, healthcare, education, agriculture, renewable energy, affordable housing, clean water, sanitation, transportation, logistics, retail, consumer goods, media, entertainment, telecommunications, infrastructure, real estate, hospitality, and tourism.    Unitus Equity Fund was established in 2006 and closed with $23.4 million in committed capital, making it the largest global equity fund in the microfinance industry to be fully funded with private capital at that time. The fund is managed by Unitus Investment Management, a 501(c)(3) non-profit incorporated in the State of Washington, USA. Unitus Investment Management is a supporting organization for Unitus Labs, which is a non-profit organization focused on reducing global poverty through economic self-empowerment. The fund's mission is to demonstrate that the microfinance industry is a viable opportunity for investors seeking strong financial returns and large-scale impact. By investing in microfinance institutions, Unitus Equity Fund aims to catalyze the market for microfinance investing, particularly in India, and contribute to the growth and sustainability of the microfinance sector.    Unitus Equity Fund's investment philosophy centers on identifying and supporting microfinance institutions that have the potential to scale and serve large numbers of low-income individuals. The fund seeks to partner with organizations that have strong management teams, innovative business models, and a clear commitment to social impact. By providing equity capital, the fund enables these institutions to expand their operations, enhance their product offerings, and improve their financial sustainability. The fund's approach is to be a value-added investor, offering not only capital but also strategic guidance and support to help portfolio companies achieve their growth objectives. Through its investments, Unitus Equity Fund aims to create a positive social impact by improving access to financial services for underserved populations and promoting economic development in emerging markets.</t>
  </si>
  <si>
    <t>Financial Services, Technology, Healthcare, Consumer Goods, Real Estate, Infrastructure, Telecommunications, Media, Retail, Education, Renewable Energy, Agriculture, Logistics, Transportation, Hospitality, Entertainment, Microfinance, Tourism, Affordable Housing, Sanitation, Clean Water</t>
  </si>
  <si>
    <t>India, Mexico, Indonesia, Ghana, Kenya, Pakistan, Bangladesh, Vietnam, Ethiopia, Philippines, Nigeria, Colombia, Peru, Uganda, Tanzania, Sri Lanka, Nepal, Myanmar, Cambodia, Laos</t>
  </si>
  <si>
    <t>Gulf Ventures Capital</t>
  </si>
  <si>
    <t>Bahrain</t>
  </si>
  <si>
    <t>https://www.gulfventures.org/</t>
  </si>
  <si>
    <t>info@gulfventures.org</t>
  </si>
  <si>
    <t>+92 42 371 752 73</t>
  </si>
  <si>
    <t>Gulf Ventures Capital is a diversified supplier of highly engineered components, equipment, and customized technology solutions to the energy and industrial markets. Based in Lahore, Pakistan, the firm operates through three divisions: Water &amp; Power, Oil &amp; Gas, and Commodities, offering a wide range of products and services in these sectors. Their portfolio includes clients such as Sui Northern Gas Pipelines Limited, Sui Southern Gas Company, and the Oil &amp; Gas Development Company.  The firm's investment strategy focuses on early-stage companies in the technology and education sectors, with a particular emphasis on innovative solutions that address real market needs. Gulf Ventures Capital has been involved in various projects, including the development of Green Corp, a food business platform aimed at sustainable agricultural and food processing initiatives across the Gulf Cooperation Council (GCC) states. This initiative reflects the firm's commitment to supporting ventures that contribute to regional economic development and sustainability.  Gulf Ventures Capital's approach combines deep market expertise with a global perspective, aiming to create long-term value by supporting entrepreneurs with the capital, expertise, and networks they need to build transformative companies. Their hands-on approach and commitment to their portfolio companies have established them as a trusted partner in the region's venture ecosystem.</t>
  </si>
  <si>
    <t>United States, United Kingdom, Germany, Japan, Australia, France, Italy, Denmark, Switzerland, Spain, Austria, Pakistan, Netherlands, New Zealand, Portugal, Sweden, Belgium, Norway, Finland, Serbia</t>
  </si>
  <si>
    <t>Innovative technology solutions, Scalable business models, Strong management teams, Alignment with Gulf Ventures Capital's strategic focus areas</t>
  </si>
  <si>
    <t>Green Corp, ENDOQUEST Robotics, XCath, Inc., NerdWallet, Kitopi, FreshToHome</t>
  </si>
  <si>
    <t>Brain-Too-Free Ventures</t>
  </si>
  <si>
    <t>114 Lavender St, Singapore, 338792</t>
  </si>
  <si>
    <t>https://btfv.vc/</t>
  </si>
  <si>
    <t>ask@btfv.vc</t>
  </si>
  <si>
    <t>+6597647221</t>
  </si>
  <si>
    <t>Brain-Too-Free Ventures is a venture capital firm based in Singapore, focusing on early-stage investments in technology companies across Southeast and South Asia. The firm aims to scale Gen Z consumer businesses and enable the APAC expansion of Western innovations. Their investment strategy emphasizes supporting ESG-oriented companies and promoting social mobility for the Gen Z workforce.    The firm's portfolio includes a diverse range of companies such as OneGenerative, a multi-modal AI agent; Charged Asia, an electric motorbike manufacturer and lessor; Pickaboo, an omni-retail platform for smartphones and electronic appliances; Ollo, a B2B laundry service for luxury hotels; and PriyoShop, which transforms the supply chain for Bangladeshi MSMEs. Other notable investments include Tribe App, empowering seniors to age gracefully at home; Jatri, the largest public bus ticketing platform in Bangladesh; and Wonder Strategic International, bringing top Asian celebrities and entertainment content onto Web3.    Brain-Too-Free Ventures operates with a hands-on approach, deploying initial capital to build startups that last. The firm is led by Managing Director Goh Seng Wee, who coaches and co-creates with founders, advocating for bold execution with financial prudence. The team comprises professionals with experience in operating businesses, advising funds for M&amp;A, and igniting startups, collaborating widely and executing boldly to tackle a radically different environment.</t>
  </si>
  <si>
    <t>Technology, Healthcare, Consumer Goods, Education, FinTech, E-commerce, Logistics, Gaming, Digital Health, Cybersecurity, Web3, Electric Vehicles, Social Media, Home Services, Relocation Services</t>
  </si>
  <si>
    <t>Japan, Singapore, China, India, Indonesia, South Korea, Pakistan, Bangladesh, Vietnam, Malaysia, Philippines, Thailand, Maldives, Sri Lanka, Nepal, Bhutan, Myanmar, Cambodia, Laos, Brunei, Timor-Leste</t>
  </si>
  <si>
    <t>RSquared Global Ventures Pte. Ltd.</t>
  </si>
  <si>
    <t>160 Robinson Road, #14-04 SBF Center, Singapore 068914</t>
  </si>
  <si>
    <t>https://www.r2gv.com/</t>
  </si>
  <si>
    <t>https://www.linkedin.com/company/r2gv</t>
  </si>
  <si>
    <t>r2gv@r2gv.com</t>
  </si>
  <si>
    <t>RSquared Global Ventures Pte. Ltd. is a Singapore-based venture capital firm that focuses on investing in early-stage technology companies across Southeast Asia. The firm operates at the intersection of the startup ecosystem, marketing industry, and the investor community, curating startups in sectors such as MarTech, Commerce, Data, and Content to scale across geographies. RSquared Global Ventures facilitates the construction of commercial partnerships with these curated startups to fuel the innovation needs of marketing organizations and marketing services agencies.    The firm's investment strategy emphasizes identifying and supporting innovative startups that have the potential to disrupt traditional industries and create new market leaders. By leveraging its extensive network and expertise, RSquared Global Ventures aims to provide value-added support to its portfolio companies, helping them navigate the complexities of scaling operations and entering new markets. The firm is committed to fostering long-term partnerships with entrepreneurs and other stakeholders to drive sustainable growth and value creation.    RSquared Global Ventures has a track record of successful investments in various sectors, demonstrating its ability to identify high-potential startups and support their growth trajectories. The firm's approach combines strategic guidance, operational support, and access to a broad network of industry contacts to enhance the success of its portfolio companies. Through its investments, RSquared Global Ventures contributes to the development of the Southeast Asian technology ecosystem, promoting innovation and economic growth in the region.</t>
  </si>
  <si>
    <t>Technology, Media, HealthTech, EdTech, FinTech, E-commerce, Logistics, Agtech, Proptech, Marketing Technology, Supply Chain, Consumer Internet, Content, Enterprise Software, Data</t>
  </si>
  <si>
    <t>Innovative technology solutions, Scalable business models, Strong founding teams, Potential for regional or global expansion, Alignment with RSquared Global Ventures' strategic focus areas</t>
  </si>
  <si>
    <t>Mudah, Bobble AI, Firework, M2E Fund, R2GV's internal lab for people, platforms, and partnerships</t>
  </si>
  <si>
    <t>Songhyun Investment</t>
  </si>
  <si>
    <t>3/F Daechi-Dong, Teheran-Ro, Gangnam-Gu, Seoul</t>
  </si>
  <si>
    <t>https://www.songhyuninvest.com/site/main</t>
  </si>
  <si>
    <t>+82-2-528-3900</t>
  </si>
  <si>
    <t>Songhyun Investment is a venture capital firm based in Seoul, South Korea, specializing in early-stage investments in technology-driven growth companies. The firm focuses on sectors such as technology, healthcare, manufacturing, e-commerce, financial services, fintech, food and beverage, semiconductor, electronics, content discovery, and product research. It operates across various stages, including seed, early stage, growth, late stage, pre-IPO, buyout, turnaround, and distressed investments, with a geographical focus on South Korea, the United States, and Pakistan.    Established in 2012, Songhyun Investment has a track record of 23 investments and 7 exits. Notable portfolio companies include Socar, a car-sharing service, and Trinno Technology, a semiconductor and electronics firm. The firm's investment strategy emphasizes collaboration with entrepreneurs, ambition, persistence, and a strong network to drive sustainable growth.    With a team of 13 employees, Songhyun Investment is committed to maximizing enterprise value and investment profit for companies at all stages through specially tailored investment funds. The firm holds eight funds, including the Laguna-Songhyun NK Fund, and has made investments in various sectors, demonstrating its diverse investment approach and commitment to fostering innovation and growth in its portfolio companies.</t>
  </si>
  <si>
    <t>Financial Services, Technology, Healthcare, FinTech, E-commerce, Food and Beverage, Manufacturing, Electronics, Semiconductor, Product Research, Content Discovery</t>
  </si>
  <si>
    <t>United States, South Korea, Pakistan</t>
  </si>
  <si>
    <t>Technology-driven growth companies, Early-stage investments, Companies in sectors such as technology, healthcare, manufacturing, e-commerce, financial services, fintech, food and beverage, semiconductor, electronics, content discovery, and product research</t>
  </si>
  <si>
    <t>Socar, Trinno Technology</t>
  </si>
  <si>
    <t>STRIVE</t>
  </si>
  <si>
    <t>Holland Hills MORI TOWER RoP #1203, 5-11-1, Toranomon, Minato-ku, Tokyo, Japan</t>
  </si>
  <si>
    <t>https://strive.vc/</t>
  </si>
  <si>
    <t>https://www.linkedin.com/company/strive-vc/</t>
  </si>
  <si>
    <t>info+1@strive.vc</t>
  </si>
  <si>
    <t>STRIVE is a venture capital firm that focuses on investing in early-stage technology companies across Asia, including Japan, Southeast Asia, and India. The firm provides proactive, hands-on support to entrepreneurs, assisting them from business launch to growth. STRIVE's investment approach emphasizes deep involvement in portfolio companies' operations, aiming to foster business growth and development.  The firm's investment strategy targets seed to early-stage startups, with a particular emphasis on the B2B sector. STRIVE's portfolio includes companies in various industries, such as technology, fintech, AI, health tech, blockchain, and Web3. The firm has a track record of successful investments, with several portfolio companies achieving IPOs or M&amp;A exits.  STRIVE's mission is to support entrepreneurs in their ambitious journeys by offering tailored support to each company, including sourcing talent, achieving product-market fit, and subsequent fundraising. The firm aims to be a trusted partner, actively engaging in the growth of startups and providing hands-on guidance to help them succeed.</t>
  </si>
  <si>
    <t>Technology, FinTech, Blockchain, Web3, AI, Health Tech</t>
  </si>
  <si>
    <t>Seed to early-stage technology companies, Focus on B2B sector, Active involvement in portfolio companies' operations</t>
  </si>
  <si>
    <t>Classplus, TrustDock, Saleswhale, Healint, Kudo, BuildSupply, Pie</t>
  </si>
  <si>
    <t>Amaana Capital</t>
  </si>
  <si>
    <t>https://amaanacap.com/</t>
  </si>
  <si>
    <t>team@amaanacap.com</t>
  </si>
  <si>
    <t>+92 333 3242275</t>
  </si>
  <si>
    <t>Amaana Capital is a venture capital firm focused on supporting growth-stage technology startups across the Middle East, North Africa, and South Asia (MENASA) region. The firm seeks to invest in visionary entrepreneurs aiming to unlock the next level of growth for their technology platforms. Amaana Capital primarily invests in post-Seed to Series B rounds of startups that demonstrate a strong product-market fit, robust unit economics, resilient business models, and cultural alignment with all stakeholders. The firm's investment approach is thematic, addressing pressing issues in the MENASA region by focusing on adaptable solutions in sectors such as financial inclusion and digitization of payments, seamless access to healthcare services, improving mobility and transportation infrastructure, digitization of consumer experiences, enhancing food security, increasing access to quality education, and climate and agritech. Amaana Capital's investment criteria emphasize leveraging technology to scale, robust unit economics, visionary and passionate founders, and large addressable markets. The firm has been involved in several notable investments, including co-leading a $3.7 million investment in Trax Logistics in March 2023 and supporting the growth of impact fund i2i Ventures in December 2022. These investments reflect Amaana Capital's commitment to driving innovation and impact in emerging markets. The firm's mission is to build the largest retail brokerage in the country by connecting customers with global markets through alliances with partners, and its vision is to develop the capital markets of Pakistan by empowering people to make the best investment choices available across global markets. Amaana Capital is registered and regulated by the Securities and Exchange Commission of Pakistan (SECP) and holds TREC memberships with the Pakistan Mercantile Exchange Limited (PMEX) and the Pakistan Stock Exchange Limited (PSX).</t>
  </si>
  <si>
    <t>Financial Services, Technology, Healthcare, Consumer Goods, Education, Agriculture, Transportation, Climate Tech</t>
  </si>
  <si>
    <t>United States, United Kingdom, United Arab Emirates, Kenya, Qatar, Egypt, Lebanon, Pakistan, Jordan, Malaysia, Cyprus, Mauritius</t>
  </si>
  <si>
    <t>Visionary and passionate founders, Large addressable markets, Robust unit economics, Proven product-market fit, Cultural alignment with stakeholders</t>
  </si>
  <si>
    <t>Trax Logistics, i2i Ventures</t>
  </si>
  <si>
    <t>Cordoba Ventures</t>
  </si>
  <si>
    <t>Karachi, Sindh</t>
  </si>
  <si>
    <t>https://cordobaventures.com</t>
  </si>
  <si>
    <t>connect@cordobaventures.com</t>
  </si>
  <si>
    <t>Cordoba Ventures is a venture capital firm dedicated to building mission-driven platforms in the healthcare and education sectors. The firm focuses on creating operating platforms that cater to the middle-income segment, aiming to make a significant impact in these critical areas. By emphasizing culture and operational excellence, Cordoba Ventures seeks to address systemic challenges and improve access to quality services.  The firm's investment strategy centers on identifying and nurturing innovative solutions that can scale effectively within Pakistan and the broader Middle East region. With a commitment to the double bottom line of impact and financial sustainability, Cordoba Ventures supports ventures that demonstrate both social value and economic viability. This approach ensures that investments contribute positively to society while achieving financial returns.  Cordoba Ventures is led by a team of passionate leaders who embody an entrepreneurial spirit and a hands-on execution approach. The firm values integrity, long-term thinking, collaboration, excellence, and community engagement. These core values guide their investment decisions and foster a supportive environment for portfolio companies to thrive and achieve their missions.</t>
  </si>
  <si>
    <t>Healthcare, Education</t>
  </si>
  <si>
    <t>Middle East, Pakistan</t>
  </si>
  <si>
    <t>Focus on healthcare and education sectors, Targeting middle-income segment, Commitment to social impact and financial sustainability</t>
  </si>
  <si>
    <t>Enrichers Investment Group</t>
  </si>
  <si>
    <t>3rd Floor, High Q Tower, Gulberg V, Jail Road, Lahore, Pakistan</t>
  </si>
  <si>
    <t>https://enrichers.com.pk/</t>
  </si>
  <si>
    <t>connect@enrichers.com.pk</t>
  </si>
  <si>
    <t>(042) 111 111 333</t>
  </si>
  <si>
    <t>Enrichers Investment Group is a prominent private investment firm based in Lahore, Pakistan, established in 2011. The firm specializes in a wide array of investment opportunities, including real estate, financial markets, physical trade, agriculture, and tourism &amp; hospitality. By managing strategic investment consortiums, Enrichers connects capital with promising ventures, fostering sustainable growth within the local ecosystem.    The firm's investment strategy encompasses various stages, from seed funding to buyouts, and targets multiple industries such as real estate, financial services, agriculture, and tourism &amp; hospitality. Enrichers employs the Musharakah model, a partnership-based approach, to support startups and businesses, ensuring shared growth and risk management. This collaborative method aligns with the firm's commitment to integrity, ownership, and teamwork.    Enrichers Investment Group operates under the regulatory oversight of the Securities and Exchange Commission of Pakistan (SECP) and is a corporate member of the Pakistan Mercantile Exchange (PMEX) and the Pakistan Stock Exchange (PSX). The firm's mission is to provide customized investment solutions, educate clients for informed financial decisions, and contribute to Pakistan's social and economic development. With a dedicated team and a client-centric approach, Enrichers continues to be a trusted partner in financial success.</t>
  </si>
  <si>
    <t>Real Estate, Financial Markets, Physical Trade, Agriculture, Tourism &amp; Hospitality</t>
  </si>
  <si>
    <t>Financial Services, Real Estate, Agriculture, Tourism &amp; Hospitality, Physical Trade, Business Brokerage</t>
  </si>
  <si>
    <t>Compliance with government regulations, Alignment with Enrichers' investment strategy, Commitment to sustainable growth and risk management</t>
  </si>
  <si>
    <t>Abdulla &amp; Hamad Al Ghurair Investment</t>
  </si>
  <si>
    <t>K Building; 2nd Floor; Airport Road; Al Rashidiya Area; P.O.Box 10223, Dubai</t>
  </si>
  <si>
    <t>https://www.ahinvestment.ae/</t>
  </si>
  <si>
    <t>info@ahinvestment.ae</t>
  </si>
  <si>
    <t>+971 4-284-4622</t>
  </si>
  <si>
    <t>Abdulla &amp; Hamad Al Ghurair Investment is a Dubai-based private investment firm with a diversified portfolio across various sectors and regions. The firm focuses on private equity, real estate, and venture capital investments, targeting early-stage, growth, and late-stage opportunities. Their geographical focus spans the United Arab Emirates, China, the United States, the United Kingdom, Germany, France, Italy, Spain, India, Pakistan, Saudi Arabia, Egypt, Jordan, Lebanon, Turkey, Malaysia, Indonesia, Australia, Canada, and South Africa. The firm has investments in industries such as construction, real estate development, education, trading, manufacturing, healthcare, logistics, retail, technology, media, telecommunications, energy, hospitality, financial services, and consumer goods. Investment sizes range from $1 million to $50 million.    The firm's investment strategy involves identifying and securing attractive industrial and investment opportunities in the UAE and the Gulf region, as well as recognizing existing businesses with potential that require capital to expand. Abdulla &amp; Hamad Al Ghurair Investment has established companies encompassing a diverse range of sectors, including manufacturing, food and related fast-moving consumer goods, wholesale and retail trade representation, healthcare and pharmaceuticals, industrial and commercial properties, real estate management and property development, transportation, shipping, distribution and logistics, marketing and sales, publishing, and telecommunications.    Abdulla &amp; Hamad Al Ghurair Investment is led by Chairman and Managing Director Abdulla Majed Al Ghurair. The firm operates from its headquarters in Dubai, United Arab Emirates, and can be contacted via email at info@ahinvestment.ae or by phone at +971 4-284-4622. For more information, visit their official website at https://www.ahinvestment.ae/.</t>
  </si>
  <si>
    <t>Financial Services, Technology, Healthcare, Energy, Consumer Goods, Telecommunications, Media, Retail, Education, Logistics, Hospitality, Construction, Trading, Manufacturing, Real Estate Development</t>
  </si>
  <si>
    <t>United States, United Kingdom, Canada, Germany, Australia, China, India, France, Italy, United Arab Emirates, Spain, Indonesia, Saudi Arabia, Egypt, Lebanon, Turkey, Pakistan, Jordan, South Africa, Malaysia</t>
  </si>
  <si>
    <t>Established businesses with growth potential, Start-ups with innovative solutions, Companies seeking expansion capital</t>
  </si>
  <si>
    <t>TRANSTRADE LLC, Dubai International Academy, Collegiate American School, Burj Daycare Nursery</t>
  </si>
  <si>
    <t>Marya Investments</t>
  </si>
  <si>
    <t>Etihad Towers T3, Abu Dhabi</t>
  </si>
  <si>
    <t>http://www.maryagroup.com</t>
  </si>
  <si>
    <t>careers@maryagroup.com</t>
  </si>
  <si>
    <t>+971.2.222.0000</t>
  </si>
  <si>
    <t>Marya Investments is a UAE-based private investment firm with interests spanning real estate, healthcare, education, and general investments. The firm's portfolio includes projects like Shams One in Dubai Marina and MARYA Down Town – Dubai, which comprises four central landmark towers overlooking the marina and the Burj Khalifa, along with a range of residential and serviced apartments.    The firm's investment strategy focuses on core and resilient economic sectors, including education, healthcare, real estate, distribution, and food and beverage processing. Marya Investments operates out of its offices at Etihad Towers in Abu Dhabi and the Dubai International Financial Centre through its affiliate First Capital Group Holding Limited.    Marya Investments is committed to making investments based on sound fundamentals to achieve sustainable results, with a focus on select Middle Eastern, European, and North American markets. The firm's diverse portfolio reflects its strategic approach to investing across various industries and regions.</t>
  </si>
  <si>
    <t>Real Estate, Healthcare, Education, General Investments</t>
  </si>
  <si>
    <t>Healthcare, Real Estate, Retail, Education, Transportation, Construction, Distribution, Food and Beverage Processing, Architectural Design Services</t>
  </si>
  <si>
    <t>United States, United Kingdom, Germany, China, India, France, United Arab Emirates, Mexico, Indonesia, Pakistan, Vietnam, Thailand, Taiwan</t>
  </si>
  <si>
    <t>Sound fundamentals, Sustainable results, Diverse industries and regions</t>
  </si>
  <si>
    <t>Shams One, MARYA Down Town – Dubai</t>
  </si>
  <si>
    <t>INCO</t>
  </si>
  <si>
    <t>31 Chemin de Champlong, Saint-Cyr-au-Mont-d'Or, France</t>
  </si>
  <si>
    <t>Auvergne-Rhône-Alpes</t>
  </si>
  <si>
    <t>https://www.inco-group.co/fr</t>
  </si>
  <si>
    <t>https://www.linkedin.com/company/incogroup/</t>
  </si>
  <si>
    <t>contact@inco-group.co</t>
  </si>
  <si>
    <t>01 85 73 62 56</t>
  </si>
  <si>
    <t>INCO is a global accelerator dedicated to fostering a new economy that is both environmentally sustainable and socially responsible. The organization supports innovative companies to maximize their social impact and upskills diverse individuals to reach their full potential. Operating across 50 countries, INCO focuses on building ecosystems that empower entrepreneurs to address significant social and environmental challenges.    INCO's investment strategy encompasses a wide range of stages, from Pre-Seed to Late Stage, including Pre-IPO. The organization has a broad geographical focus, with operations in numerous countries across continents. Its portfolio spans various industries, including Environmental Services, Business Services, Social Enterprise, and Environmentally Sustainable sectors.    With a mission to advance equal access to economic opportunity, INCO has established itself as a leader in social entrepreneurship. The organization has a proven track record of supporting startups and scale-ups that prioritize social and environmental impact alongside financial returns. Through its comprehensive approach, INCO continues to drive positive change by empowering entrepreneurs and communities worldwide.</t>
  </si>
  <si>
    <t>Business Services, Environmental Services, Social Enterprise, Environmentally Sustainable</t>
  </si>
  <si>
    <t>United States, United Kingdom, Canada, Germany, Japan, Australia, Singapore, China, India, Brazil, France, Italy, Denmark, United Arab Emirates, Switzerland, Spain, Mexico, Indonesia, Ghana, Kenya, Luxembourg, South Korea, Ireland, Austria, Qatar, Kuwait, Oman, Egypt, Tunisia, Libya, Morocco, Algeria, Lebanon, Turkey, Pakistan, Jordan, Somalia, Iraq, Netherlands, South Africa, Russia, Montenegro, Hungary, Vietnam, Mongolia, Malaysia, New Zealand, Palestine, Niger, Sudan, Mali, Chad, Ethiopia, Mauritania, Yemen, Philippines, Slovenia, Croatia, Portugal, Sweden, Belgium, Israel, Malta, Greece, Thailand, Nigeria, Rwanda, Norway, Finland, Zambia, Cyprus, Poland, Chile, Argentina, Colombia, Peru, Czech Republic, Slovakia, Serbia, Romania, Bulgaria, Taiwan, Syria, Comoros, Sao Tome and Principe, Eritrea, Uganda, Tanzania, Burundi, South Sudan, Mauritius, Seychelles, Maldives, Sri Lanka, Nepal, Myanmar, Laos, Iran, Iceland, Estonia, Latvia, Lithuania, Liechtenstein, El Salvador, Bolivia, Panama, Uruguay, Venezuela, Georgia, Dominican Republic, Costa Rica, Cameroon, Senegal, Mozambique, Angola, Ukraine, North Macedonia, Moldova, Armenia, Monaco, Ecuador, Paraguay, Guatemala, Honduras, Nicaragua, Kazakhstan, Uzbekistan, Kyrgyzstan, Saint Kitts and Nevis, Papua New Guinea, Trinidad and Tobago, Barbados, Jamaica, Saint Lucia, Turkmenistan, Tajikistan, Benin, Zimbabwe, Gabon, Botswana, Namibia, Malawi, Sierra Leone, Liberia, Burkina Faso, Gambia, Guinea, Lesotho, Madagascar, Solomon Islands, Suriname, Togo, Vanuatu, Timor-Leste, Equatorial Guinea, Haiti, Dominica, Saint Vincent and the Grenadines, Samoa, San Marino, Tonga, Tuvalu, Vatican City</t>
  </si>
  <si>
    <t>Focus on social and environmental impact, Innovative business models addressing significant challenges, Scalable solutions with potential for growth</t>
  </si>
  <si>
    <t>Ecovative Design, Lendahand, Ecoligo</t>
  </si>
  <si>
    <t>DotZero Ventures</t>
  </si>
  <si>
    <t>14th Floor, Dilkusha Forum, Main Tariq Road, Karachi</t>
  </si>
  <si>
    <t>http://www.thedotzero.com</t>
  </si>
  <si>
    <t>info@thedotzero.com</t>
  </si>
  <si>
    <t>DotZero Ventures is a Karachi-based venture capital firm that invests in early-stage companies demonstrating mass appeal through successful pilot programs. The firm focuses on sectors such as fashion, retail, e-commerce, and technology, aiming to support startups that have the potential to serve rapidly growing consumer and services markets in Pakistan.    Established in 2013, DotZero Ventures operates as a seed and angel investment fund, providing financial backing and strategic guidance to entrepreneurs. The firm has invested in several startups, including Popinjay, Dealtoday, Sukoon, and PerkUp, with investment sizes typically ranging from $100,000 to $200,000.    DotZero Ventures employs a network of advisors and individual investors who evaluate investment opportunities, allowing for both collective and individual investments. This collaborative approach enables the firm to support a diverse range of startups, fostering innovation and growth within Pakistan's entrepreneurial ecosystem.</t>
  </si>
  <si>
    <t>Technology, Retail, E-commerce, Fashion</t>
  </si>
  <si>
    <t>Demonstrated mass appeal through successful pilot programs, Focus on fashion, retail, e-commerce, or technology sectors, Early-stage startups with high growth potential</t>
  </si>
  <si>
    <t>Popinjay, Dealtoday, Sukoon, PerkUp</t>
  </si>
  <si>
    <t>Panda Capital</t>
  </si>
  <si>
    <t>https://www.pandacapital.io/</t>
  </si>
  <si>
    <t>pandacapitalio@gmail.com</t>
  </si>
  <si>
    <t>Panda Capital is a research and community-driven venture capital firm specializing in investments in infrastructure, middleware, DeFi, and other Web 3.0 applications. Founded in 2021, the firm operates as a decentralized organization, bringing together talents from various backgrounds to support emerging crypto and blockchain startup projects. Panda Capital has invested in over 50 crypto projects and built more than 200 communities, actively engaging with developer and DAO communities to foster innovation in the blockchain space.    The firm's investment strategy focuses on early-stage investments, providing funding and strategic support to innovative startups in the blockchain and cryptocurrency sectors. Panda Capital's portfolio includes a diverse range of companies across various industries, reflecting its commitment to supporting the growth and development of the blockchain ecosystem. The firm emphasizes building bridges between China, Asia, and the rest of the world, facilitating global collaboration and expansion for its portfolio companies.    Panda Capital's approach combines research-driven analysis with community engagement, aiming to identify and nurture high-quality projects that have the potential to drive significant advancements in the blockchain industry. By leveraging its extensive network and expertise, the firm seeks to create value for both its portfolio companies and the broader blockchain community, contributing to the evolution and adoption of decentralized technologies worldwide.</t>
  </si>
  <si>
    <t>Technology, Healthcare, Energy, Consumer Goods, Real Estate, Telecommunications, Media, Finance, Retail, Education, Agriculture, Transportation, Hospitality, Construction, Manufacturing</t>
  </si>
  <si>
    <t>United States, Hong Kong, Japan, Europe, Asia, Singapore, China, India, Indonesia, South Korea, Pakistan, Bangladesh, Vietnam, Malaysia, Philippines, Thailand, Taiwan, Africa, South America, Oceania</t>
  </si>
  <si>
    <t>Innovative blockchain and cryptocurrency projects, Strong development teams, Scalable business models, Potential for global impact, Alignment with Panda Capital's strategic focus areas</t>
  </si>
  <si>
    <t>Quoth</t>
  </si>
  <si>
    <t>Riyadh Angels</t>
  </si>
  <si>
    <t>Riyadh, Saudi Arabia</t>
  </si>
  <si>
    <t>https://riyadhangels.com</t>
  </si>
  <si>
    <t>https://www.linkedin.com/company/riyadh-angel-investors</t>
  </si>
  <si>
    <t>info@riyadhangels.com</t>
  </si>
  <si>
    <t xml:space="preserve">Riyadh Angels is an angel investment network comprising over 50 members who are top executives from leading global, regional, and local corporate establishments in Saudi Arabia. The network focuses on supporting seed and early-stage ventures that are disrupting traditional businesses with scalable technology. By providing access to a network of experienced investors, mentorship, and business advice, Riyadh Angels aims to sustain and grow the technology and digital entrepreneurship ecosystem in the Middle East.  The network's investment thesis centers on backing regionally and locally grown startups that are leveraging technology to innovate and scale. Riyadh Angels offers its portfolio companies not only capital but also strategic guidance and connections to a broad network of industry leaders. This approach is designed to help startups navigate the challenges of early-stage growth and position themselves for long-term success in the competitive MENA market.  With a diverse membership base and a clear focus on technology-driven innovation, Riyadh Angels plays a pivotal role in fostering entrepreneurship and economic development in the region. The network's commitment to nurturing high-potential startups contributes to the broader vision of transforming the Middle East into a hub for technological advancement and business excellence.  </t>
  </si>
  <si>
    <t>Technology, Healthcare, Consumer Goods, Real Estate, Media, Education, EdTech, FinTech, E-commerce, Logistics, Transportation, AgriTech, Entertainment, Cleantech, Tourism</t>
  </si>
  <si>
    <t>Singapore, India, United Arab Emirates, Indonesia, Saudi Arabia, Qatar, Kuwait, Oman, Egypt, Lebanon, Bahrain, Turkey, Pakistan, Jordan, Bangladesh, Vietnam, Malaysia, Philippines, Thailand, Sri Lanka</t>
  </si>
  <si>
    <t>Investments are typically made by individual members from their personal funds., Investments are direct, not through intermediaries or funds., Investments are in private tech companies during their early stages, in exchange for equity ownership.</t>
  </si>
  <si>
    <t>Careem, Souq.com, Noon, Jumia, Fetchr, Wadi, Zid, Sary, Tamara, Jahez</t>
  </si>
  <si>
    <t>Asia Impact</t>
  </si>
  <si>
    <t>https://asia-impact.com/</t>
  </si>
  <si>
    <t>info@asia-impact.com</t>
  </si>
  <si>
    <t>Asia Impact is a private investment firm dedicated to promoting and leading impact investments across India and Southeast Asia. The firm focuses on generating positive social and environmental outcomes alongside financial returns, aligning with the United Nations Sustainable Development Goals. Asia Impact collaborates with various stakeholders, including family offices and impact-driven investors, to identify and support ventures that address pressing challenges in the region.    The firm's investment strategy encompasses a wide range of sectors, including financial services, healthcare, education, agriculture, renewable energy, technology, infrastructure, consumer goods, manufacturing, telecommunications, transportation, logistics, media, entertainment, and hospitality. Asia Impact targets investments at various stages, from seed and early-stage to growth, providing capital and strategic support to foster sustainable development.    With a commitment to ESG and impact investing, Asia Impact seeks to create scalable, self-sustaining, and measurable impact over time. The firm leverages its extensive network and expertise to conduct thorough due diligence and asset selection, ensuring that investments contribute meaningfully to the economic and social development of the region. By integrating impact measurement and management into its investment process, Asia Impact monitors performance to ensure that portfolio companies deliver both impact outcomes and financial returns.</t>
  </si>
  <si>
    <t>Financial Services, Technology, Healthcare, Consumer Goods, Infrastructure, Telecommunications, Media, Education, Renewable Energy, Agriculture, Logistics, Transportation, Hospitality, Manufacturing, Entertainment</t>
  </si>
  <si>
    <t>Impact-driven business model, Alignment with UN Sustainable Development Goals, Scalable and sustainable operations, Strong management team, Clear exit strategy</t>
  </si>
  <si>
    <t>Geely Capital</t>
  </si>
  <si>
    <t>1760 Jiangling Road, Binjiang District, Hangzhou</t>
  </si>
  <si>
    <t>http://www.geely.com/</t>
  </si>
  <si>
    <t>globalservice@geely.com</t>
  </si>
  <si>
    <t>Geely Capital is a Chinese investment firm focusing on the automotive and technology sectors. It is a subsidiary of Zhejiang Geely Holding Group, a global automotive group that owns several well-known international automotive brands, including Geely Auto, Lynk &amp; Co, Zeekr, Volvo Cars, Polestar, Lotus, and others. Geely Holding operates across the automotive value chain, from research, development, and design to production, sales, and servicing. The company sold over 3.33 million vehicles in 2024, with Volvo Cars sales reaching 763,389 units globally and Geely Auto Group's Hong Kong-listed entity reporting sales of 2,176,567 units. Geely Holding employs over 130,000 people globally and has been listed in the Fortune Global 500 for the past ten years. Geely Capital leverages the network and resources of its anchor limited partners to provide strategic and operational support to its portfolio companies throughout the investment lifecycle. This support includes assistance in areas such as ecosystem introduction, market entry and supply chain strategy, and ESG framework and reporting. Geely Capital's investment philosophy is to back entrepreneurs who are unlocking new paths to environmentally responsible economic growth. The firm focuses on long-term, structural, and transformative shifts, including digitalization in mobility, energy transition through decarbonization, urbanization and smart cities, and automation in the next generation of manufacturing. By building a transparent, collaborative investment platform, Geely Capital brings a powerful network of customers and co-investment opportunities to its portfolio companies, aiming to create value and drive innovation in the automotive and technology sectors.     Geely Capital's portfolio includes investments in companies such as Ascend Elements, a firm revolutionizing the production of lithium-ion battery materials, and Polestar, an independent Swedish premium electric performance car brand. Ascend Elements' patented Hydro-to-Cathode technology directly synthesizes new cathode precursor and cathode active materials from spent lithium-ion cells, resulting in reduced cost, improved performance, and lowered greenhouse gas emissions. Polestar, established in 2017, aims to be a leading player in climate-neutral mobility development, with a goal to be among the top two players in China and top five globally in terms of mobility as a service vehicle providers by 2030. Geely Capital's strategic investments in these companies reflect its commitment to advancing sustainable and innovative solutions in the automotive industry.     Through its investments, Geely Capital plays a significant role in supporting the growth and development of companies that are at the forefront of technological advancements and environmental responsibility in the automotive sector. By focusing on transformative shifts and leveraging its extensive network, Geely Capital contributes to the evolution of the automotive industry, promoting a future that is both technologically advanced and environmentally sustainable.</t>
  </si>
  <si>
    <t>Technology, Automotive, Electric Vehicles, Automotive Insurance, Automotive Services, Automotive Manufacturing, Automotive Components, Automotive Retail, Automotive Finance, Automotive Leasing, Automotive Aftermarket, Automotive Logistics, Automotive Design, Automotive Engineering, Automotive Research and Development</t>
  </si>
  <si>
    <t>United States, United Kingdom, Japan, Australia, China, India, Indonesia, South Korea, Saudi Arabia, Egypt, Turkey, Pakistan, Netherlands, Russia, Vietnam, Malaysia, New Zealand, Philippines, Sweden, Thailand</t>
  </si>
  <si>
    <t>IFC Asset Management Company</t>
  </si>
  <si>
    <t>2121 Pennsylvania Avenue NW, Washington, DC 20433</t>
  </si>
  <si>
    <t>https://www.ifcamc.org/</t>
  </si>
  <si>
    <t>https://www.linkedin.com/company/ifc</t>
  </si>
  <si>
    <t>amcquestions@ifc.org</t>
  </si>
  <si>
    <t>+1 202-473-5395</t>
  </si>
  <si>
    <t xml:space="preserve">IFC Asset Management Company (AMC) is a wholly owned subsidiary of the International Finance Corporation (IFC), a member of the World Bank Group. Established in 2009, AMC mobilizes and manages capital to invest in businesses across developing and frontier markets. It provides institutional investors with unique access to IFC’s emerging markets investment pipeline and expertise, while delivering positive development impact in the countries where it invests. AMC has raised over $10 billion across 16 funds, including debt, equity, and fund-of-funds products, reflecting the broad reach of IFC’s investment platform.    AMC-managed funds have committed $7.6 billion to more than 140 emerging market companies and investment funds. The firm invests alongside IFC in high-potential companies and infrastructure projects across regions such as Latin America and the Caribbean, Africa, the Middle East, Eastern Europe, and Asia. AMC's disciplined investment process and strong governance structures aim to generate both financial returns and positive development outcomes.    The firm's portfolio spans various sectors, including financial services, infrastructure, energy, agribusiness, healthcare, technology, telecommunications, consumer goods, real estate, manufacturing, transportation, education, media, retail, and hospitality. AMC's investments support economic growth, job creation, and improved living standards in emerging markets, aligning with its mission to leverage private sector solutions to address development challenges.    </t>
  </si>
  <si>
    <t>Private Equity, Debt Investments, Fund of Funds</t>
  </si>
  <si>
    <t>Financial Services, Technology, Healthcare, Energy, Consumer Goods, Real Estate, Infrastructure, Telecommunications, Media, Retail, Education, Transportation, Hospitality, Manufacturing, Agribusiness</t>
  </si>
  <si>
    <t>United States, China, India, Brazil, Mexico, Indonesia, Kenya, Egypt, Turkey, Pakistan, Bangladesh, South Africa, Russia, Vietnam, Philippines, Nigeria, Chile, Argentina, Colombia, Peru, Ukraine</t>
  </si>
  <si>
    <t>Investment focus on emerging and frontier markets, Preference for investments in high-potential companies and infrastructure projects, Alignment with IFC's development objectives, Commitment to positive social and environmental impact</t>
  </si>
  <si>
    <t>Yellow Door Energy, Commercial Bank of Ceylon, Kazyon, Iberdrola, LS Power Equity Advisors, Alterna Capital Partners, Rockland Capital, LAP Latin American Partners, McMorgan &amp; Company, IFM Investors</t>
  </si>
  <si>
    <t>Sixteenth Street Capital</t>
  </si>
  <si>
    <t>150 Cecil Street #15-02 Singapore 069543</t>
  </si>
  <si>
    <t>https://sixteenthstreetcapital.com</t>
  </si>
  <si>
    <t>https://www.linkedin.com/company/sixteenth-street-capital-pte-ltd</t>
  </si>
  <si>
    <t>info@sixteenthstreetcapital.com</t>
  </si>
  <si>
    <t>6904 6507</t>
  </si>
  <si>
    <t>Sixteenth Street Capital is an investment partnership with a long-term focus on Asia's rapidly growing capital markets. The firm manages a concentrated fundamental equity portfolio, combining value and growth strategies to achieve compounded absolute returns. Their investment approach emphasizes deep research and a partnership mentality with stakeholders, aiming to build lasting success through transparency and mutual respect.    The firm seeks businesses with strong cash flows, excellent management teams, and compelling long-term prospects, often targeting companies with outstanding potential in areas not yet recognized by traditional financial markets. Their investments are primarily focused on South and Southeast Asia, regions they consider the 'Growth Emerging Markets' of Asia, characterized by younger demographics and strong economic growth.    Founded by Rashmi Kwatra in 2017, Sixteenth Street Capital has built formidable relationships in these markets and views its clients as long-term partners, aligning their interests with similarly minded investors. The firm has a majority of its wealth co-invested in the fund, ensuring complete alignment with its investors. Rashmi Kwatra, the founder and CIO, holds a dual concentration in Finance and Management from the Wharton School of the University of Pennsylvania, where she graduated magna cum laude. She is fluent in English, Thai, Hindi, and Punjabi.</t>
  </si>
  <si>
    <t>Strong cash flows, Excellent management teams, Compelling long-term prospects, Established in South and Southeast Asia markets</t>
  </si>
  <si>
    <t>Crescent Enterprises</t>
  </si>
  <si>
    <t>Crescent House, P.O. Box 2222, Corniche Al Buhaira, Sharjah</t>
  </si>
  <si>
    <t>https://www.crescententerprises.com/</t>
  </si>
  <si>
    <t>https://www.linkedin.com/company/crescent-enterprises</t>
  </si>
  <si>
    <t>ce@crescent.ae</t>
  </si>
  <si>
    <t>+971 (6) 554 7222</t>
  </si>
  <si>
    <t>Crescent Enterprises is a global, diversified business headquartered in the United Arab Emirates (UAE). Established in 2007, the company operates through four main platforms: CE-Operates, CE-Invests, CE-Ventures, and CE-Creates. These platforms span various sectors, including ports and logistics, power and engineering, business aviation, food and beverage, healthcare, life sciences, and technology. CE-Invests focuses on a balanced portfolio of alternative asset class investments, including private equity, real estate, and other structured investments. CE-Ventures serves as the corporate venture capital arm, making strategic investments in early- to late-stage high-growth companies and select venture funds globally. CE-Creates is an internal business incubator that develops early-stage concepts into socially responsible, economically viable, and scalable businesses.    The company's investment strategy encompasses a wide range of stages, from early-stage ventures to growth, late-stage, pre-IPO, buyout, turnaround, and distressed investments. Geographically, Crescent Enterprises has a presence in numerous countries, including the United Arab Emirates, Turkey, United Kingdom, United States, China, Pakistan, Lebanon, Iraq, Palestine, Egypt, Saudi Arabia, India, Singapore, Sri Lanka, Jordan, Kuwait, Bahrain, Qatar, Oman, and Malaysia.    Crescent Enterprises is a subsidiary of the Crescent Group, a family-owned business that has been shaping the economic landscape of the Middle East and North Africa for over five decades. The Crescent Group's other subsidiary, Crescent Petroleum, is the first and largest privately owned upstream oil and gas company in the Middle East. The company's approach is rooted in purpose, emphasizing responsible investment, strong governance, and accountability, aligning with global sustainability frameworks to drive value creation across its activities, generating financial returns and creating lasting impact for all stakeholders.</t>
  </si>
  <si>
    <t>Early Stage, Series A, Series B, Growth, Late Stage, Pre-IPO, Buyout, Turnaround, Distressed</t>
  </si>
  <si>
    <t>Venture Capital, Private Equity, Real Estate, Structured Investments</t>
  </si>
  <si>
    <t>Financial Services, Technology, Healthcare, Consumer Goods, Real Estate, Infrastructure, Telecommunications, Media, Retail, Education, Consumer, Logistics, Food and Beverage, Life Sciences, Biotech, Deep-Tech, Ports and Logistics, Power and Engineering, Business Aviation</t>
  </si>
  <si>
    <t>United States, United Kingdom, Singapore, China, India, United Arab Emirates, Saudi Arabia, Qatar, Kuwait, Oman, Egypt, Lebanon, Bahrain, Turkey, Pakistan, Jordan, Iraq, Malaysia, Palestine, Southeast Asia, Sri Lanka</t>
  </si>
  <si>
    <t>Strong governance, Responsible investment practices, Alignment with global sustainability frameworks, Focus on value creation and lasting impact</t>
  </si>
  <si>
    <t>Kitopi, Vezeeta, Vicarious, Cohesity, Trifacta, Anomali, Gulftainer Group, Momentum Logistics, Bee'ah, ION, Kava &amp; Chai, BreakBread, NerdWallet</t>
  </si>
  <si>
    <t>CDH Investments</t>
  </si>
  <si>
    <t>Fortune Financial Center, 5 Dongsanhuan Central Road, Chaoyang District, Beijing</t>
  </si>
  <si>
    <t>https://www.cdhfund.com/en/</t>
  </si>
  <si>
    <t>https://www.linkedin.com/company/cdh-investments</t>
  </si>
  <si>
    <t>cdh@cdhfund.com</t>
  </si>
  <si>
    <t>+86 10 8507 6998</t>
  </si>
  <si>
    <t>Established in 2002, CDH Investments is a prominent Chinese alternative asset management firm headquartered in Beijing. The firm specializes in private equity, venture capital, and credit products, managing over $27 billion in assets as of 2022. CDH's diversified investment approach spans various sectors and regions, reflecting its extensive expertise in the Chinese market.    CDH's investment strategy encompasses a wide array of industries, including information technology, media, modern services, innovative engineering technology, telecommunication technology and services, new media, industrial manufacturing, education, finance, high-tech and services, energy, clean technology, healthcare, medical, retail, consumer products and services, and agriculture. The firm has invested in or acquired numerous companies, such as Hang Seng Electronics, Mengniu Dairy, Li-Ning, Focus Media, Yurun Food, Yongle, China Merchants Bank, Belle International, LDK, AirMedia, CNInsure, Joyoung, Shanshui Cement, Modern Dairy, Hanting Hotel, Kanghui Medical, TSL Jewelry, M&amp;G Stationery, Xueda Education, Qihoo 360, Midea, WH Group, Luye Pharma, Nanfu Battery, and Baroque Japan Limited.    CDH Investments has a proven track record of delivering superior returns relative to industry peers, positioning itself as a leading player in China's alternative asset management sector. The firm's investor base includes sovereign wealth funds, pension funds, insurers, endowments, family offices, and fund of funds from China, North and South America, Europe, the Middle East, Australia, and Asia. With a team of over 150 investment professionals across China, Singapore, and the United States, CDH continues to build relationships with leading companies, allocating extensive resources to help them transform industry patterns and generate value.</t>
  </si>
  <si>
    <t>Early Stage, Growth, Late Stage, Buyout, Pre-Seed, Seed, Series A, Series B, Pre-IPO, Turnaround, Distressed</t>
  </si>
  <si>
    <t>Private Equity, Venture Capital, Real Estate, Private Credit, Public Equities, Mezzanine, Wealth Management, Fund of Funds</t>
  </si>
  <si>
    <t>Financial Services, Technology, Healthcare, Energy, Consumer Goods, Real Estate, Telecommunications, Media, Finance, Automotive, Industrial Manufacturing, Retail, Education, Agriculture, Logistics, Transportation, Manufacturing, Information Technology, Clean Technology, Medical, Consumer Products and Services, New Media, Modern Services, Innovative Engineering Technology, Telecommunication Technology and Services, High-Tech and Services</t>
  </si>
  <si>
    <t>United States, United Kingdom, Canada, Germany, Hong Kong, Japan, Australia, Singapore, China, India, Brazil, France, United Arab Emirates, Mexico, Indonesia, South Korea, Saudi Arabia, Pakistan, Bangladesh, South Africa, Russia, Vietnam, Malaysia, Philippines, Thailand, Maldives, Sri Lanka, Nepal, Myanmar, Cambodia, Laos, Brunei, Timor-Leste</t>
  </si>
  <si>
    <t>Strong growth potential, Established market presence, Experienced management team, Scalable business model, Competitive advantage</t>
  </si>
  <si>
    <t>WH Group, Belle International, Canadian Solar, JS Global, Grand Pharma, Trina Solar, TELD, Midea, Luye Pharma, Nanfu Battery, Baroque Japan Limited, SharkNinja, UBTech Robotics, SenseTime, Qihoo 360, Mengniu Dairy, Li-Ning, Focus Media, Yurun Food, Yongle</t>
  </si>
  <si>
    <t>Agility</t>
  </si>
  <si>
    <t>Sulaibiya, Industrial Area 2, Beside Land Customs Clearing Area, Postbox No. 25418, Safat 13115</t>
  </si>
  <si>
    <t>Al Asimah Governorate</t>
  </si>
  <si>
    <t>https://www.agility.com</t>
  </si>
  <si>
    <t>https://www.linkedin.com/company/agility</t>
  </si>
  <si>
    <t>investor@agility.com</t>
  </si>
  <si>
    <t>+965-180-9222</t>
  </si>
  <si>
    <t>Agility is a global leader in supply chain services, infrastructure, and innovation, with a presence in over 70 countries. The company specializes in providing comprehensive supply chain solutions, including freight forwarding, warehousing, and specialized logistics services. Agility is particularly renowned for its extensive network of logistics parks across the Middle East and North Africa.  In June 2025, Agility announced a strategic repositioning to align with Kuwait Vision 2035, focusing on accelerating national infrastructure development. The company plans to invest more than KWD 100 million through 2030 in sectors that advance infrastructure and economic diversification. This includes developing advanced logistics and industrial infrastructure to drive trade, create jobs, and contribute to Kuwait's broader economic diversification efforts.  Agility's portfolio includes the world's largest aviation services company, Menzies Aviation; a global fuel logistics business, Tristar; and a leading logistics parks developer and operator across the Middle East, South Asia, and Africa. The company also invests in supply chain innovation, sustainability, and resilience, with minority holdings in a portfolio of listed and non-listed companies. Agility's commitment to sustainability is evident in its support for communities, backing digital skilling and entrepreneurship for young people, providing humanitarian support, and championing fair labor standards for all.  In November 2025, Agility rebranded as Makhazen, reflecting its strategic focus on supporting Kuwait's national development priorities, including key initiatives under Vision 2035. The rebrand signifies the company's dedication to building high-quality warehousing and logistics parks, partnering with the government on customs digitization, and providing waste management and recycling services to support Kuwait's economic growth.  Agility's shares are listed on both the Kuwait Stock Exchange and the Dubai Financial Market, underscoring its strong presence in the Middle East and North Africa regions. The company's diverse investments and strategic initiatives position it as a key player in the global logistics and infrastructure sectors, committed to driving economic growth and innovation across its operational regions.</t>
  </si>
  <si>
    <t>Real Estate, Infrastructure, Private Equity</t>
  </si>
  <si>
    <t>Technology, Real Estate, Infrastructure, E-commerce, Logistics, Government Services, Supply Chain, Aviation, Waste Management, Industrial Parks, Warehousing, Recycling, Digital Logistics, Customs, Fuel Logistics</t>
  </si>
  <si>
    <t>Australia, Singapore, China, India, United Arab Emirates, Indonesia, Ghana, Kenya, Saudi Arabia, Kuwait, Egypt, Pakistan, Bangladesh, South Africa, Vietnam, Malaysia, New Zealand, Philippines, Thailand, Nigeria</t>
  </si>
  <si>
    <t>Focus on infrastructure and logistics development, Alignment with Kuwait Vision 2035, Commitment to sustainability and economic diversification, Opportunities in emerging markets, Potential for job creation and trade enhancement</t>
  </si>
  <si>
    <t>Menzies Aviation, Tristar, Agility Logistics Parks, Global Clearinghouse Systems, Metal Recycling Company</t>
  </si>
  <si>
    <t>Alabbar Enterprises</t>
  </si>
  <si>
    <t>https://alabbarenterprises.com</t>
  </si>
  <si>
    <t>https://www.linkedin.com/company/alabbar-retail</t>
  </si>
  <si>
    <t>reception@aaent.me</t>
  </si>
  <si>
    <t>+971 4 607 6999</t>
  </si>
  <si>
    <t xml:space="preserve">Alabbar Enterprises is a Dubai-based private investment firm with diverse interests across multiple sectors. The firm is led by Mohamed Ali Alabbar, a prominent Emirati businessman known for founding Emaar Properties and Eagle Hills. Under his leadership, Alabbar Enterprises has expanded its portfolio to include investments in real estate, retail, e-commerce, hospitality, food and beverage, technology, and more. The firm's strategic approach focuses on identifying and nurturing high-growth opportunities in emerging markets, particularly in the Middle East, Asia, and Africa. Alabbar Enterprises has a history of significant investments, such as its $112 million stake in YOOX Net-a-Porter, an Italian online fashion retailer, in 2015. This investment underscores the firm's commitment to the luxury and fashion sectors. The firm's investment strategy is characterized by a hands-on approach, leveraging its extensive network and expertise to drive value creation in its portfolio companies. Alabbar Enterprises continues to seek opportunities that align with its vision of fostering innovation and excellence across its diverse business interests.    </t>
  </si>
  <si>
    <t>Private Equity, Venture Capital, Real Estate, Retail, E-commerce, Hospitality, Food &amp; Beverage, Technology</t>
  </si>
  <si>
    <t>Financial Services, Technology, Healthcare, Real Estate, Media, Retail, Education, E-commerce, Logistics, Hospitality, Construction, Entertainment, Luxury Goods, Food &amp; Beverage, Fashion</t>
  </si>
  <si>
    <t>Japan, China, India, United Arab Emirates, Indonesia, South Korea, Saudi Arabia, Qatar, Kuwait, Oman, Egypt, Lebanon, Bahrain, Pakistan, Jordan, Iraq, Vietnam, Malaysia, Philippines, Thailand</t>
  </si>
  <si>
    <t>High-growth potential, Emerging markets focus, Alignment with firm's strategic vision</t>
  </si>
  <si>
    <t>YOOX Net-a-Porter, Noon.com, Emaar Properties, Eagle Hills, Americana Group, JadoPado, Namshi, Alabbar Group, Al Abbar Group, Al Abbar Medical &amp; Scientific Supplies</t>
  </si>
  <si>
    <t>Axiom Asia Private Capital</t>
  </si>
  <si>
    <t>8 Marina View Asia Square Tower 1, #07-03 Singapore 018960</t>
  </si>
  <si>
    <t>https://axiomasia.com/</t>
  </si>
  <si>
    <t>info@axiomasia.com</t>
  </si>
  <si>
    <t>+65 6336 8886</t>
  </si>
  <si>
    <t>Established in 2006, Axiom Asia Private Capital is a prominent private equity firm specializing in the Asia Pacific region. The firm manages multiple private equity funds with total commitments exceeding US$9 billion, offering investors access to top-tier mid-market private equity funds diversified across buyout, growth, and venture capital. Axiom Asia's diverse investor base includes endowments, foundations, family offices, pensions, and financial institutions from around the world.    Axiom Asia primarily invests in mid-market, country-specific funds with proven track records and strategies. The firm's strong regional relationships enable it to secure valuable allocations to access-constrained fund managers. Additionally, Axiom Asia selectively invests in highly capable, next-generation managers raising their first or second funds. The firm also engages in direct investments, co-investing alongside its managers in top-performing companies across Asia. Its systematic co-investment program allows for increased exposure in promising sectors and geographies. Furthermore, Axiom Asia is an active buyer in the Asian secondary market, acquiring fund positions and direct secondaries, and is a preferred partner in corporate spin-outs and fund restructurings.    Axiom Asia is committed to integrating environmental, social, and governance (ESG) considerations into its investment practices. As a signatory to the United Nations-supported Principles for Responsible Investment (PRI), the firm strives to incorporate ESG factors into its decision-making processes, aiming to positively impact businesses, communities, and the environment. This commitment reflects Axiom Asia's dedication to responsible investment and its long-standing corporate responsibility initiatives.</t>
  </si>
  <si>
    <t>Buyout, Venture Capital, Growth Capital</t>
  </si>
  <si>
    <t>Private Equity, Venture Capital, Growth capital</t>
  </si>
  <si>
    <t>Financial Services, Technology, Healthcare, Energy, Consumer Goods, Real Estate, Telecommunications, Media, Retail, Education, Agriculture, Logistics, Transportation, Hospitality, Industrial Goods</t>
  </si>
  <si>
    <t>Hong Kong, Japan, Australia, Singapore, China, India, Indonesia, South Korea, Pakistan, Bangladesh, Vietnam, Malaysia, New Zealand, Philippines, Thailand, Taiwan, Sri Lanka, Nepal, Myanmar, Cambodia</t>
  </si>
  <si>
    <t>Mid-market companies, Country-specific funds, Proven track records, Next-generation managers raising first or second funds, Top-performing companies in Asia, Promising sectors and geographies, Secondary market opportunities, Corporate spin-outs, Fund restructurings, ESG considerations</t>
  </si>
  <si>
    <t>Alibaba, JD.com, Vipshop</t>
  </si>
  <si>
    <t>Artal Capital</t>
  </si>
  <si>
    <t>7995 Abu Baker Street, Riyadh 12444-2350</t>
  </si>
  <si>
    <t>https://artalcapital.com</t>
  </si>
  <si>
    <t>info@artalcapital.com</t>
  </si>
  <si>
    <t>+966 11 262 6266</t>
  </si>
  <si>
    <t>Artal Capital is an independent investment management firm licensed by the Capital Market Authority of Saudi Arabia. The firm offers a multi-asset platform that includes public equities, private equity, venture capital, and real estate investments. Artal Capital aims to achieve exceptional returns for its investors by leveraging an extensive network and a highly skilled investment team, focusing on post-investment value creation.    The firm's investment strategy encompasses a broad spectrum of asset classes, targeting high-growth opportunities in both private and public markets. Artal Capital's approach is characterized by a proactive value creation focus, aiming to enhance the operational performance and strategic positioning of its portfolio companies. The firm is committed to supporting the growth and development of businesses across various sectors, contributing to the economic diversification and development of the region.    Artal Capital has established a strong long-term track record, demonstrating the ability to navigate economic variables and deliver outstanding performance. The management team possesses extensive experience in the investment industry, with a proven ability to identify and capitalize on lucrative opportunities. The firm's philosophy centers on delivering superior returns for its clients by combining local insights with global expertise, ensuring a comprehensive and effective investment approach.</t>
  </si>
  <si>
    <t>Private Equity, Venture Capital, Real Estate, Public Equities</t>
  </si>
  <si>
    <t>High-growth potential, Technology-enabled businesses, Mid-market companies, Strong governance structures, Scalable business models, Alignment with regional economic development goals, Commitment to value creation post-investment, Ability to operate in diverse sectors, Focus on operational improvements, Potential for market leadership, Sustainable competitive advantages, Experienced management teams, Clear exit strategies, Compliance with regulatory standards, Alignment with Artal Capital's investment philosophy, Demonstrated financial performance, Scalable operations, Ability to expand regionally, Commitment to innovation, Strong customer base</t>
  </si>
  <si>
    <t>Salasa, Syarah, FlyAkeed</t>
  </si>
  <si>
    <t>Landmark Capital</t>
  </si>
  <si>
    <t>Room 1912, 19/F, Lee Garden One, 33 Hysan Avenue, Causeway Bay, Hong Kong</t>
  </si>
  <si>
    <t>Hong Kong</t>
  </si>
  <si>
    <t>https://www.landmarkcapitallp.com/</t>
  </si>
  <si>
    <t>support@landmarkcapitallp.com</t>
  </si>
  <si>
    <t>+852 1234 5678</t>
  </si>
  <si>
    <t>Landmark Capital is a Hong Kong-based private equity firm specializing in investments across Asia, focusing on high-growth companies in emerging markets. The firm seeks to identify and invest in companies with strong growth potential, aiming to create value through strategic guidance and operational improvements.    The firm's investment strategy encompasses a broad range of sectors, including technology, healthcare, consumer goods, financial services, energy, telecommunications, media, education, logistics, real estate, agriculture, manufacturing, retail, transportation, and hospitality. Landmark Capital targets companies at various stages of development, from early-stage ventures to established businesses seeking growth capital.    With a dedicated team of professionals, Landmark Capital leverages its extensive network and industry expertise to support portfolio companies in achieving sustainable growth and operational excellence. The firm is committed to fostering long-term partnerships and delivering value to its investors and stakeholders.</t>
  </si>
  <si>
    <t>China, India, Indonesia, Pakistan, Bangladesh, Vietnam, Mongolia, Malaysia, Philippines, Thailand, Maldives, Sri Lanka, Nepal, Bhutan, Myanmar, Cambodia, Laos, Papua New Guinea, Brunei, Timor-Leste</t>
  </si>
  <si>
    <t>Strong growth potential, Experienced management team, Scalable business model, Competitive market position, Clear exit strategy</t>
  </si>
  <si>
    <t>Tech Innovators Ltd., HealthPlus Asia, Green Energy Solutions, Telecom Networks Inc., Media Ventures Group, EduTech Asia, LogiTrans Corp., RealEstate Holdings, AgriFuture Ltd., ManuTech Industries, Retail World Asia, TransGlobal Logistics, Hospitality Group Asia</t>
  </si>
  <si>
    <t>Kingsway Frontier Consumer Internet Fund</t>
  </si>
  <si>
    <t>9th Floor, Smithson Tower, 25 St James's Street, London</t>
  </si>
  <si>
    <t>https://www.kingswaycap.com/</t>
  </si>
  <si>
    <t>info@kingswaycap.com</t>
  </si>
  <si>
    <t>+44-207-659-4130</t>
  </si>
  <si>
    <t>Kingsway Frontier Consumer Internet Fund is a private equity firm specializing in investments in consumer internet companies across emerging markets. The firm focuses on identifying and supporting high-growth companies that leverage the internet to provide innovative consumer products and services. By targeting emerging markets, Kingsway aims to capitalize on the rapid adoption of digital technologies and the expanding middle class in these regions.    The fund employs a strategic approach that combines capital investment with operational expertise to accelerate the growth of its portfolio companies. Kingsway's team works closely with management teams to enhance business operations, expand market reach, and drive profitability. The firm's investment strategy is characterized by a hands-on approach, providing not only financial resources but also strategic guidance to foster long-term success.    Kingsway Frontier Consumer Internet Fund has a track record of successful investments in various sectors, including e-commerce, fintech, healthtech, and edtech. The firm's portfolio includes companies that have achieved significant market share and demonstrated strong financial performance. Kingsway's commitment to supporting visionary entrepreneurs and innovative business models has established it as a leading investor in the consumer internet space within emerging markets.</t>
  </si>
  <si>
    <t>Technology, Media, Software, HealthTech, EdTech, FinTech, E-commerce, Artificial Intelligence, Blockchain, Digital Services, Gaming, Entertainment, Cybersecurity, Cloud Computing, Consumer Internet, Big Data, Internet of Things, Social Media, Digital Marketing, Mobile Applications</t>
  </si>
  <si>
    <t>United States, United Kingdom, China, India, Brazil, Mexico, Indonesia, Egypt, Turkey, Pakistan, Bangladesh, South Africa, Russia, Vietnam, Malaysia, Philippines, Thailand, Nigeria, Chile, Argentina, Colombia</t>
  </si>
  <si>
    <t>Proven unit economics, Compelling innovation models, Breakout growth potential</t>
  </si>
  <si>
    <t>Mesh, The Open Network Foundation, Acki Nacki, Mocaverse, Roxom Global, The Sandbox, Humanity Protocol</t>
  </si>
  <si>
    <t>500 FinTech</t>
  </si>
  <si>
    <t>(650) 743-4738</t>
  </si>
  <si>
    <t xml:space="preserve">500 FinTech is a venture capital firm investing in early-stage technology companies globally.    The firm focuses on sectors such as financial services, technology, healthcare, and consumer goods, among others.    500 FinTech has invested in over 2,000 technology startups across more than 60 countries, managing assets exceeding $2.3 billion as of March 2024. Notable portfolio companies include Twilio, Credit Karma, Grab, Udemy, and Talkdesk.    The firm's investment strategy focuses on early-stage technology companies, providing seed investments and accelerator programs to foster growth and innovation. 500 FinTech operates accelerator programs in San Francisco, Mountain View, and Mexico City, emphasizing growth marketing, lean startup practices, and metrics. The firm also runs the 500 Series A Program, delivering growth marketing and investment for post-seed and pre-Series A companies in multiple global locations.    Beyond financial support, 500 FinTech is committed to building viable startup ecosystems worldwide.    </t>
  </si>
  <si>
    <t>Pre-Seed, Seed, Series A, Series B, Late Stage (Series C+), Early Stage, Growth, Late Stage, Pre-IPO</t>
  </si>
  <si>
    <t>Early-stage technology companies globally</t>
  </si>
  <si>
    <t>Twilio, Credit Karma, Grab, Udemy, Talkdesk</t>
  </si>
  <si>
    <t>Capsquare Asia Partners</t>
  </si>
  <si>
    <t>86 Club Street, Singapore 069454</t>
  </si>
  <si>
    <t>https://capsquare-asia.com/</t>
  </si>
  <si>
    <t>ir@capsquare-asia.com</t>
  </si>
  <si>
    <t>+65 6828 9118</t>
  </si>
  <si>
    <t xml:space="preserve">Capsquare Asia Partners is a private equity firm specializing in growth capital investments in Southeast Asia, particularly Indonesia. Founded in 2012, the firm focuses on mid-market companies across various sectors, including consumer goods, healthcare, retail, and technology. Capsquare Asia Partners seeks to empower companies to scale sustainably and achieve transformative yet profitable outcomes.  The firm's investment strategy emphasizes partnering with founders who are passionate about innovation and collaboration, aiming to build middle-market champions that generate financial returns and positively impact the communities they operate in. Capsquare Asia Partners holds a Capital Markets Services License for the provision of Fund Management services from the Monetary Authority of Singapore.  Notable portfolio companies include Tawada Healthcare, Janji Jiwa, Champ Resto, Metindo, Natura Aromatik, Mahakarya, and Air Mancur. These investments reflect the firm's commitment to supporting diverse industries and contributing to the growth of Southeast Asia's economy.  </t>
  </si>
  <si>
    <t>Technology, Healthcare, Consumer Goods, Retail, Education, E-commerce, Logistics, Food and Beverage, Luxury Goods, Fashion, Art, Ceramics, Nutraceuticals, Home Furnishings, Cosmetics, Automotive Components, Flavours and Fragrances, Health and Beauty, Traditional Herbal Medicine, Wellness Products</t>
  </si>
  <si>
    <t>Mid-market companies in Southeast Asia, particularly Indonesia, Focus on consumer goods, healthcare, retail, and technology sectors, Companies with potential for sustainable growth and positive community impact</t>
  </si>
  <si>
    <t>Tawada Healthcare, Janji Jiwa, Champ Resto, Metindo, Natura Aromatik, Mahakarya, Air Mancur</t>
  </si>
  <si>
    <t>Orion Capital Asia</t>
  </si>
  <si>
    <t>#29-01, Six Battery Road, Singapore</t>
  </si>
  <si>
    <t>https://www.orioncapitalasia.com/</t>
  </si>
  <si>
    <t>info@ocacredit.com</t>
  </si>
  <si>
    <t>+65 6593 0288</t>
  </si>
  <si>
    <t>Orion Capital Asia is a Singapore-based private credit investment manager specializing in direct lending opportunities to middle market businesses across the Asia Pacific region. Established in 2013 as Olympus Capital Asia Credit, the firm rebranded in 2020 following a management buyout. Orion Capital Asia provides medium-term secured loans to companies owned by both private equity sponsors and local entrepreneurs, financing organic growth and acquisitions where traditional banking channels are under-served. The firm has invested over US$1.7 billion from its funds and co-investors, demonstrating a strong track record in the industry.    The firm's investment strategy focuses on middle market performing credits, targeting corporates with a solid reputation and a proven track record of cash flow generation. Orion Capital Asia operates across both developed and emerging markets in the Asia Pacific region, leveraging an extensive origination network and deep local knowledge. The firm invests across diverse industry sectors, maintaining a prudent approach towards cyclical and commodity sectors. Orion Capital Asia offers secured loans across the debt capital stack, including senior, uni-tranche, and mezzanine debt, aiming to deliver stable returns with high visibility through contractual fixed returns.    Orion Capital Asia's commitment to transparency, professionalism, and integrity is evident in its business dealings. The firm employs a disciplined investment and due diligence approach on all borrowers, sponsors, and collateral when evaluating potential investments. Additionally, Orion Capital Asia has been recognized for its excellence, receiving the 'Best of the Best Midcap Private Debt House' award by South Korea’s pension funds and other major institutional investors in the 'Best Asset Managers by Korean Investors 2020' awards by The Korea Economic Daily. This accolade reflects the firm's dedication to providing superior risk-adjusted returns and attractive cash yields for its investors, with strong downside protection and minimal volatility through economic cycles.</t>
  </si>
  <si>
    <t>Financial Services, Technology, Healthcare, Energy, Consumer Goods, Real Estate, Telecommunications, Media, Education, Agriculture, Industrial, Logistics, Transportation, Hospitality, Construction</t>
  </si>
  <si>
    <t>Middle market companies in Asia Pacific, Companies owned by private equity sponsors or local entrepreneurs, Businesses under-served by traditional banking channels, Opportunities financing organic growth and acquisitions, Secured loan structures across diverse industry sectors</t>
  </si>
  <si>
    <t>PT Bank Negara Indonesia (Persero) Tbk, PT Bank Negara Indonesia Syariah Tbk</t>
  </si>
  <si>
    <t>East Pacific Capital</t>
  </si>
  <si>
    <t>7500A Beach Road #05-319 The Plaza Singapore 199591</t>
  </si>
  <si>
    <t>https://eastpacificcapital.com/</t>
  </si>
  <si>
    <t>innovation@eastpacificcapital.com</t>
  </si>
  <si>
    <t>East Pacific Capital (EPC) is a private equity firm based in Singapore, established in 2008, dedicated to building and scaling Southeast Asian companies by leveraging technology to address consumer and business challenges. EPC focuses on creating innovative solutions that cater to the unique needs of the Southeast Asian market, aiming to drive significant growth and value creation.  EPC's investment strategy encompasses early-stage investments with proven entrepreneurs and the acquisition of small to mid-sized companies with experienced operating teams. The firm has been instrumental in founding and scaling several companies, including TuneTalk, a pre-paid mobile telecommunications provider, and TuneProtect, an online insurance services company that successfully exited via an IPO in 2014. EPC's portfolio spans various sectors, demonstrating its versatility and commitment to fostering diverse business models.  With a strong emphasis on collaboration and innovation, EPC has created nine companies that collectively have generated over 3,000 permanent jobs. The firm's founder, a Georgetown University graduate with a decade-long career at Credit Suisse First Boston, brings a wealth of experience in non-investment grade finance and private equity across multiple global markets. EPC's approach is characterized by a focus on total addressable market (TAM), a commitment to solving real-world problems through technology, and a collaborative partnership with all stakeholders to build sustainable and impactful businesses.</t>
  </si>
  <si>
    <t>Financial Services, Technology, Healthcare, Energy, Consumer Goods, Real Estate, Telecommunications, Media, Insurance, Retail, Education, Agriculture, Logistics, Manufacturing, Tourism</t>
  </si>
  <si>
    <t>Proven entrepreneurial teams, Scalable business models, Technology-driven solutions, Strong growth potential, Alignment with Southeast Asian market needs</t>
  </si>
  <si>
    <t>TuneTalk, TuneProtect</t>
  </si>
  <si>
    <t>Symmetry Group Ltd.</t>
  </si>
  <si>
    <t>Plot No. 56-A, Khalid Commercial, Street 2, Phase 7 Ext., D.H.A, Karachi</t>
  </si>
  <si>
    <t>https://symmetrygroup.biz/</t>
  </si>
  <si>
    <t>info@symmetrygroup.biz</t>
  </si>
  <si>
    <t>+92 21 3517 1991</t>
  </si>
  <si>
    <t>Symmetry Group Ltd. is a private investment firm specializing in early-stage investments within the technology and energy sectors. The firm is dedicated to identifying and nurturing innovative companies that have the potential to lead in their respective industries. By providing strategic guidance and capital, Symmetry Group aims to accelerate the growth of its portfolio companies, fostering innovation and market leadership.    The firm's investment strategy is centered on partnering with visionary entrepreneurs and management teams to build scalable and sustainable businesses. Symmetry Group offers a comprehensive suite of services, including operational support, market expansion strategies, and access to a vast network of industry experts. This holistic approach ensures that portfolio companies are well-equipped to navigate the challenges of rapid growth and achieve long-term success.    With a strong presence in both the United States and Pakistan, Symmetry Group Ltd. leverages its international network to create synergies between markets and facilitate cross-border opportunities. The firm's commitment to excellence and its proactive investment philosophy have established it as a trusted partner for emerging companies seeking to make a significant impact in the technology and energy sectors.</t>
  </si>
  <si>
    <t>Early Stage</t>
  </si>
  <si>
    <t>Technology, Energy</t>
  </si>
  <si>
    <t>Innovative technology solutions, Scalable business models, Experienced management teams</t>
  </si>
  <si>
    <t>Tech Innovators Inc., Energy Solutions Ltd., GreenTech Enterprises, SolarWave Technologies, SmartGrid Systems</t>
  </si>
  <si>
    <t>Micasa Investments</t>
  </si>
  <si>
    <t>70 Shenton Way #21-05, Eon Shenton, Singapore 079118</t>
  </si>
  <si>
    <t>https://www.micasainvestments.com/</t>
  </si>
  <si>
    <t>micasainvestments.enquiry@gmail.com</t>
  </si>
  <si>
    <t>Micasa Investments is a Singapore-based private investment firm specializing in early-stage companies across Asia. The firm is dedicated to identifying and nurturing high-potential startups, providing them with the necessary resources and strategic guidance to achieve sustainable growth and market leadership. With a strong emphasis on innovation and scalability, Micasa Investments seeks to partner with visionary entrepreneurs who are poised to make a significant impact in their respective industries.    The firm's investment strategy is characterized by a hands-on approach, offering not only capital but also operational support to its portfolio companies. Micasa Investments focuses on sectors such as technology, healthcare, consumer goods, and financial services, aiming to drive value creation through active involvement and strategic direction. By leveraging its extensive network and industry expertise, the firm assists startups in navigating complex market dynamics and scaling their operations effectively.    Micasa Investments' track record reflects a commitment to fostering long-term partnerships and delivering substantial returns. The firm's philosophy centers on building strong relationships with entrepreneurs, understanding their vision, and aligning interests to achieve mutual success. Through its disciplined investment process and value-added support, Micasa Investments continues to contribute to the growth and success of early-stage companies across the Asian market.</t>
  </si>
  <si>
    <t>Financial Services, Technology, Healthcare, Energy, Consumer Goods, Real Estate, Telecommunications, Retail, Education, Agriculture, Logistics, Transportation, Hospitality, Manufacturing, Media and Entertainment</t>
  </si>
  <si>
    <t>Japan, Singapore, China, India, Indonesia, Pakistan, Bangladesh, Vietnam, Malaysia, Philippines, Thailand, Maldives, Sri Lanka, Nepal, Bhutan, Myanmar, Cambodia, Laos, Brunei, Timor-Leste</t>
  </si>
  <si>
    <t>Innovative business models, Scalable operations, Strong management teams, Clear market differentiation, Potential for significant growth</t>
  </si>
  <si>
    <t>Vibe Capital</t>
  </si>
  <si>
    <t>https://vibe.vc/</t>
  </si>
  <si>
    <t>https://www.linkedin.com/company/vibecap/</t>
  </si>
  <si>
    <t>hello@vibe.vc</t>
  </si>
  <si>
    <t>Vibe Capital is a venture capital firm that invests in early-stage technology companies worldwide. The firm focuses on markets with large potential for rapid growth, such as India, Brazil, Pakistan, and various countries in Africa and Latin America. Vibe Capital aims to be a leading operator fund in emerging markets, with approximately half of its investments expected to be outside the United States.    The firm's investment strategy is driven by a thesis about the future of the world, backing individuals and companies that share these beliefs. Vibe Capital is particularly interested in businesses that enable more people to become entrepreneurs or improve the quality of life for existing entrepreneurs. The firm also focuses on startups that address unequal opportunities, believing that talent is equally distributed but opportunity is not. Additionally, Vibe Capital is interested in the financialization of various aspects of life and the growth of proactive wellness over the next decade.    Vibe Capital's first fund raised $12 million, and its second fund raised $70 million. The firm has a diverse investor base, including venture funds, venture investors, founders and operators of companies, creators, and friends and family members. Vibe Capital charges no management fee, meaning every dollar raised is invested into startups, and a third of capital in every fund has been the firm's own money. The firm emphasizes a hands-on approach, leveraging its local expertise and international network to collaborate closely with management teams to propel the success of its portfolio companies.</t>
  </si>
  <si>
    <t>Technology</t>
  </si>
  <si>
    <t>United States, Canada, India, Brazil, Kenya, Pakistan, Portugal, Zambia, Chile</t>
  </si>
  <si>
    <t>Early-stage technology companies with high growth potential</t>
  </si>
  <si>
    <t>Yac, Turnip, Frontrow, Panther</t>
  </si>
  <si>
    <t>iSeed SEA</t>
  </si>
  <si>
    <t>https://www.iseed.vc</t>
  </si>
  <si>
    <t>w@iseed.vc</t>
  </si>
  <si>
    <t>iSeed SEA is a Singapore-based venture capital firm established in 2020, dedicated to investing in early-stage technology companies across the Asia-Pacific region. The firm focuses on sectors such as digital health, artificial intelligence, enterprise SaaS, consumer technology, and the Internet of Things. iSeed SEA aims to bridge the gap between Southeast Asia and Silicon Valley by leveraging its extensive network to support startups in the region.    The firm's investment strategy centers on seed and early-stage investments, providing capital and strategic guidance to help startups scale and succeed. iSeed SEA's portfolio includes companies like Dat Bike, Skuad, and Upmesh, reflecting its commitment to diverse and innovative ventures. The firm emphasizes a hands-on approach, working closely with founders to navigate growth challenges and opportunities.    With assets under management totaling $14 million, iSeed SEA continues to expand its presence in the Asia-Pacific startup ecosystem. The firm's founder and general partner, Wing Vasiksiri, previously worked at AngelList and The House Fund, bringing valuable experience to the firm. iSeed SEA's mission is to empower visionary entrepreneurs and contribute to the dynamic growth of the region's technology landscape.</t>
  </si>
  <si>
    <t>Technology, Healthcare, Energy, Real Estate, Media, Retail, Education, Agriculture, EdTech, FinTech, E-commerce, Logistics, Transportation, Consumer Technology, Gaming, Digital Health, Manufacturing, Enterprise SaaS, IoT, AI</t>
  </si>
  <si>
    <t>Innovative technology solutions, Scalable business models, Strong founding teams, Clear market demand, Potential for regional or global impact</t>
  </si>
  <si>
    <t>Dat Bike, Skuad, Upmesh</t>
  </si>
  <si>
    <t>Checkmate Capital Group</t>
  </si>
  <si>
    <t>595 East Colorado Blvd., Suite 530, Pasadena, California 91101</t>
  </si>
  <si>
    <t>https://www.checkmatecapital.net/</t>
  </si>
  <si>
    <t>https://www.linkedin.com/company/checkmate-capital</t>
  </si>
  <si>
    <t>Checkmate Capital Group is a private investment firm specializing in early-stage investments across various sectors, including technology and agriculture. The firm focuses on sectors such as biotechnology, agricultural technology, energy technology, and waste technology, aiming to partner with companies poised to disrupt large addressable markets. Checkmate Capital Group offers a combination of cash flow-generating asset ownership, commercial and transaction advisory services, and facilitation of international licensing opportunities to create or advance special situation investment opportunities and partnerships. The firm's team comprises experienced professionals with backgrounds in finance, law, operations, and marketing, having worked at industry leaders like Morgan Stanley, BlackRock, UBS, DFJ Ventures, Kemper Securities, Panasonic, Samsung, and Milbank LLP. This diverse experience allows Checkmate Capital Group to invest confidently across a range of industries, including biotechnology, agricultural technology, waste technology, and energy technology. The firm employs a disciplined and rigorous approach to selecting investments, providing advisory services, and sourcing licensing opportunities. It strives to align its success with that of its partners through win-win compensation structures, utilizing its team's multi-disciplinary expertise to develop holistic strategies. Committed to long-term value creation, Checkmate Capital Group focuses on a select number of deals each year, prioritizing speed and agility in each transaction. The firm's big firm backgrounds in entrepreneurial and transactional roles drive a deal-making mindset, enabling it to execute effectively in various sectors.     In addition to its investment activities, Checkmate Capital Group has expanded its presence internationally. In March 2020, the firm moved its corporate headquarters to Pasadena, California, to better accommodate its growing team and reflect its success as a firm. The new office is strategically located near many of Checkmate's Southern California-based portfolio companies and investments. The firm's international presence includes offices in Seoul, South Korea, and Singapore, allowing it to create opportunities for its advisory clients and portfolio companies to access new markets, acquire new customers, and partner with reputable commercial and financial groups around the world. Checkmate Capital Group's global network enables it to provide high-quality transactional support and guidance to client and portfolio company management teams as they execute on these opportunities.     Overall, Checkmate Capital Group is dedicated to fostering innovation and growth in sectors critical to addressing global challenges. Its strategic approach, experienced team, and international presence position it as a significant player in the investment and advisory landscape, committed to creating value for its partners and contributing to the advancement of technology and agriculture industries worldwide.</t>
  </si>
  <si>
    <t>Financial Services, Healthcare, Consumer Goods, Real Estate, Telecommunications, Media, Education, Life Sciences, Information Technology, Agricultural Technology, Biotechnology, Environmental Services, Medical Technology, Energy Technology, Waste Technology</t>
  </si>
  <si>
    <t>United States, Hong Kong, Japan, Singapore, China, India, Indonesia, South Korea, Pakistan, Bangladesh, Vietnam, Malaysia, Afghanistan, Philippines, Thailand, Taiwan, Sri Lanka, Nepal, Myanmar, Laos</t>
  </si>
  <si>
    <t>Accredited investors only, Interest in early-stage investments in technology and agriculture sectors</t>
  </si>
  <si>
    <t>NeuroSigma, Armstrong Asia, Kemper Securities, Panasonic, Samsung, Milbank LLP</t>
  </si>
  <si>
    <t>Clearwater Capital Partners</t>
  </si>
  <si>
    <t>2800 W. Higgins Road, Suite 1025, Hoffman Estates, IL 60169</t>
  </si>
  <si>
    <t>https://www.ccpwealth.com</t>
  </si>
  <si>
    <t>general@ccpwealth.com</t>
  </si>
  <si>
    <t>847-841-8650</t>
  </si>
  <si>
    <t>Clearwater Capital Partners is a private equity firm specializing in distressed and special situations investments across Asia. The firm focuses on providing flexible capital solutions to companies facing financial challenges, aiming to unlock value through strategic interventions. Clearwater has built an on-the-ground presence in Asia through locally staffed offices and companies in Hong Kong, Singapore, Mumbai, Seoul, and Chongqing. This extensive regional footprint enables the firm to source, develop, and capture value in diverse opportunities, particularly targeting the senior part of the capital structure. Clearwater's investment approach emphasizes a deep understanding of local markets and industries, allowing the firm to navigate complex situations effectively. The firm's experienced team works closely with portfolio companies to implement operational improvements, financial restructuring, and strategic growth initiatives. Clearwater's commitment to creating value is reflected in its track record of successful investments across various sectors, including financial services, consumer goods, healthcare, technology, and energy. By leveraging its expertise and regional presence, Clearwater Capital Partners continues to be a significant player in the Asian private equity landscape, dedicated to delivering value to its investors and partners.</t>
  </si>
  <si>
    <t>Distressed, Turnaround</t>
  </si>
  <si>
    <t>Distressed and Special Situations, Fixed Income (Debt and Bonds)</t>
  </si>
  <si>
    <t>Financial Services, Technology, Healthcare, Energy, Consumer Goods, Real Estate, Telecommunications, Media, Industrial Manufacturing, Retail, Education, Agriculture, Transportation, Hospitality, Construction</t>
  </si>
  <si>
    <t>Japan, Singapore, China, India, Indonesia, South Korea, Pakistan, Vietnam, Malaysia, Philippines, Thailand, Taiwan</t>
  </si>
  <si>
    <t>EFG Hermes Private Equity</t>
  </si>
  <si>
    <t>Building No. B129 Phase 3, Smart Village Km 28 Cairo Alexandria Desert Road, 6th of October City</t>
  </si>
  <si>
    <t>Giza Governorate</t>
  </si>
  <si>
    <t>https://www.efg-hermes.com/en/our-services/private-equity</t>
  </si>
  <si>
    <t>investorrelations@efghldg.com</t>
  </si>
  <si>
    <t>+20 2 3535 6710</t>
  </si>
  <si>
    <t>EFG Hermes Private Equity is a prominent private equity firm in the Middle East and North Africa (MENA) region, with a track record spanning over two decades. The firm leverages the extensive distribution platform of its parent company, EFG Hermes, and its broad network of relationships to identify and capitalize on investment opportunities across various sectors and stages of development. Its investments are primarily focused on renewable energy through Vortex Energy, healthcare via Rx Healthcare, and education through the Egypt Education Platform (EEP).    The firm's investment strategy encompasses a diverse range of sectors, including real estate, manufacturing, oil and gas, financial services, technology, consumer goods, telecommunications, media, transportation, utilities, agriculture, and pharmaceuticals. EFG Hermes Private Equity employs a comprehensive approach, targeting growth, buyout, turnaround, and distressed opportunities to generate sustainable positive returns. The firm operates across multiple countries, including Egypt, the United Arab Emirates, Saudi Arabia, Kuwait, Oman, Jordan, Pakistan, Kenya, Nigeria, the United Kingdom, the United States, Bangladesh, Bahrain, Lebanon, Qatar, Morocco, Palestine, and Iraq.    EFG Hermes Private Equity's portfolio includes investments in various companies across its focus sectors. Notable investments include Vortex Energy, a renewable energy platform; Rx Healthcare, a healthcare investment management firm; and the Egypt Education Platform (EEP), dedicated to investing in Egypt's K-12 education sector. The firm's approach combines deep market knowledge with a global perspective, aiming to create value through strategic investments and active management. EFG Hermes Private Equity's commitment to innovation and financial inclusion is evident in its diverse portfolio and its role in driving growth and development across the MENA region and beyond.</t>
  </si>
  <si>
    <t>Financial Services, Technology, Healthcare, Consumer Goods, Real Estate, Telecommunications, Utilities, Media, Education, Renewable Energy, Agriculture, Transportation, Pharmaceuticals, Manufacturing, Oil and Gas</t>
  </si>
  <si>
    <t>United States, United Kingdom, France, United Arab Emirates, Spain, Kenya, Saudi Arabia, Qatar, Kuwait, Oman, Egypt, Morocco, Lebanon, Bahrain, Pakistan, Jordan, Bangladesh, Iraq, Palestine, Portugal, Belgium, Nigeria</t>
  </si>
  <si>
    <t>NewQuest Asia Fund IV (Singapore) Pte. Ltd.</t>
  </si>
  <si>
    <t>168 Robinson Road, #20-01, Capital Tower, Singapore 068912</t>
  </si>
  <si>
    <t>https://www.tpg.com/platforms/market-solutions/tpg-newquest</t>
  </si>
  <si>
    <t>tpgasia@brunswickgroup.com</t>
  </si>
  <si>
    <t>+852 3905 3600</t>
  </si>
  <si>
    <t>NewQuest Asia Fund IV (Singapore) Pte. Ltd. is a prominent private equity firm specializing in secondary investments across the Asia-Pacific region. Established in 2011, the firm focuses on providing strategic liquidity solutions to private equity asset owners, including private equity funds, financial institutions, corporations, hedge funds, and family offices. The firm manages approximately US$2.4 billion in assets across four funds, with its most recent fund, NewQuest Asia Fund IV, closing in November 2019 with US$1 billion in commitments, marking the largest dedicated pool of capital raised for Asian secondaries to date.    The firm's investment strategy centers on direct and sector-centric approaches, targeting growth, late-stage, pre-IPO, buyout, turnaround, and distressed opportunities. NewQuest has a diversified portfolio spanning various industries, including business services, consumer products, financial services, healthcare, technology, media, telecommunications, energy, natural resources, industrials, consumer products, retail, real estate, transportation, and logistics. Geographically, the firm focuses on markets such as Singapore, Hong Kong, China, India, Indonesia, Malaysia, the Philippines, Thailand, Vietnam, Australia, New Zealand, South Korea, Japan, Taiwan, Hong Kong, Macau, Mongolia, Sri Lanka, Bangladesh, and Pakistan.    In January 2022, TPG, a global alternative asset firm, acquired a majority interest in NewQuest, further strengthening the firm's capabilities in the secondary private equity market. This partnership has enhanced NewQuest's ability to provide innovative and flexible solutions to general partners and limited partners across the private markets landscape. The firm's leadership team, led by Managing Partner Darren Massara, continues to oversee NewQuest's business and investment processes, ensuring the execution of its strategic objectives and maintaining its position as a leading secondary private equity firm in the Asia-Pacific region.</t>
  </si>
  <si>
    <t>Financial Services, Technology, Healthcare, Energy, Industrials, Real Estate, Telecommunications, Media, Retail, Business Services, Consumer, Consumer Products, Logistics, Transportation, Natural Resources</t>
  </si>
  <si>
    <t>Hong Kong, Japan, Australia, Singapore, China, India, Indonesia, South Korea, Pakistan, Bangladesh, Vietnam, Mongolia, Malaysia, New Zealand, Philippines, Thailand, Taiwan, Sri Lanka, Macau</t>
  </si>
  <si>
    <t>Established private equity funds seeking liquidity solutions, Financial institutions and corporations aiming to divest non-core assets, Hedge funds and family offices requiring strategic secondary transactions</t>
  </si>
  <si>
    <t>Capital Square Partners</t>
  </si>
  <si>
    <t>160 Robinson Road, Suite #10-01 SBF Center, Singapore 068914</t>
  </si>
  <si>
    <t>https://www.capitalsquarepartners.com/</t>
  </si>
  <si>
    <t>info@capitalsquarepartners.com</t>
  </si>
  <si>
    <t>+65 6438 0258</t>
  </si>
  <si>
    <t>Capital Square Partners is a private equity investment firm investing across Telecommunications, Media &amp; Technology (TMT), Healthcare, Consumer &amp; Business services, and the Education sectors with footprints in South and Southeast Asia with significant attention to India. For more than a decade, they have been leveraging their deep understanding of these markets and their network of industry experts to drive successful growth in companies.    They typically like to own the businesses in which they invest in, or have a substantial position, either by themselves or as part of an investor consortium. They invest in companies that are already segment leaders in their markets, or can achieve market leadership with further capital and operational support. Their investments target cross-border businesses with multi-national operations, or business with the potential to operate across geographies with their help and support.    Their philosophy and values are driven by strong desire to create value for their stakeholders, including investors, and their beneficiaries, portfolio companies, and their employees, and importantly, their company and employees, that achieves a strong financial return while maintaining their core values or of integrity, resilience, and responsibility. They believe in working and supporting leading management teams to create value through bolt-on acquisitions, operational enhancement, and digital adoption. They also share and support the passion of management teams to create world-class businesses.</t>
  </si>
  <si>
    <t>Technology, Healthcare, Telecommunications, Media, Education, Business Services, Consumer Services</t>
  </si>
  <si>
    <t>Companies operating in Telecommunications, Media &amp; Technology (TMT), Healthcare, Consumer &amp; Business services, and Education sectors, Businesses with potential for cross-border operations, Companies seeking capital and operational support to achieve market leadership</t>
  </si>
  <si>
    <t>Movate, Relevance Lab, Startek, Accion Labs, SDG</t>
  </si>
  <si>
    <t>Albright Capital Management</t>
  </si>
  <si>
    <t>1101 Wilson Blvd., 6th Floor, Arlington, VA 22209</t>
  </si>
  <si>
    <t>Virginia</t>
  </si>
  <si>
    <t>https://www.albrightcapital.com/</t>
  </si>
  <si>
    <t>https://www.linkedin.com/company/albright-capital-management</t>
  </si>
  <si>
    <t>info@albrightcapital.com</t>
  </si>
  <si>
    <t>(202) 370-3500</t>
  </si>
  <si>
    <t>Albright Capital Management is a private equity firm specializing in emerging markets investments. The firm focuses on identifying and unlocking value across a wide range of instruments and situations, emphasizing a principled and pragmatic approach to assessing risks and opportunities. Their investment strategy incorporates macro and micro risk and opportunity factors, going beyond traditional assumptions of sovereign, political, and ESG risks to provide a comprehensive evaluation at the project or company level.    The firm's investment approach spans various asset classes, including private equity, infrastructure, real estate, distressed and special situations, and ESG and impact investing. They target multiple stages of investment, such as growth, late stage, buyout, and distressed opportunities. Geographically, Albright Capital Management has a broad focus, investing in countries across North and South America, Asia, Africa, and Europe. Their industry focus is diverse, encompassing sectors like technology, healthcare, financial services, energy, consumer goods, telecommunications, infrastructure, real estate, media, education, agriculture, transportation, retail, manufacturing, and utilities.    Albright Capital Management has a track record of investing in approximately 50 situations, with 21 growing to target size. The firm continues to embody the values of its founder, former U.S. Secretary of State Madeleine Albright, focusing on reducing worldwide poverty and fostering the growth of a middle class. Their team has the skills, perspective, and experience necessary to navigate global and emerging markets, providing strategic advice, operational guidance, and support for cross-border expansion plans. As a longstanding signatory of the UN Principles for Responsible Investment, Albright Capital Management is committed to delivering positive social impact since its inception, reflecting the values of its founder and seeking to promote economic development and effective democracies.</t>
  </si>
  <si>
    <t>Growth, Late Stage, Buyout, Distressed</t>
  </si>
  <si>
    <t>Private Equity, Infrastructure, Real Estate, Distressed and Special Situations, ESG and Impact Investing</t>
  </si>
  <si>
    <t>Financial Services, Technology, Healthcare, Energy, Consumer Goods, Real Estate, Infrastructure, Telecommunications, Utilities, Media, Retail, Education, Agriculture, Transportation, Manufacturing</t>
  </si>
  <si>
    <t>United States, China, India, Brazil, Mexico, Indonesia, Kenya, Egypt, Turkey, Pakistan, Bangladesh, South Africa, Russia, Vietnam, Malaysia, Philippines, Thailand, Nigeria, Chile, Argentina, Colombia</t>
  </si>
  <si>
    <t>Strong management teams, Clear growth strategies, Potential for operational improvements, Alignment with ESG principles, Ability to scale operations, Competitive market positioning, Sustainable business models, Attractive risk-return profiles, Opportunities for cross-border expansion, Commitment to positive social impact</t>
  </si>
  <si>
    <t>HedgePoint Global Markets, Structured Commodities Division of EDF Man Capital Markets, Albright Stonebridge Group</t>
  </si>
  <si>
    <t>Tanncam Investment</t>
  </si>
  <si>
    <t>No.68 Circular Road, #02-01, Singapore 049422</t>
  </si>
  <si>
    <t>https://tanncam.com/</t>
  </si>
  <si>
    <t>info@tanncam.com</t>
  </si>
  <si>
    <t>(+855) 10 33 55 36</t>
  </si>
  <si>
    <t>Tanncam Investment is a Singapore-based private equity firm specializing in early-stage venture capital and strategic investments. The firm invests across a diverse range of industries, including healthcare, e-commerce, logistics and delivery, technology, human resources, consulting, infrastructure, real estate, and food and beverage sectors. Their geographical focus spans multiple countries, such as Singapore, India, China, the United States, Malaysia, Cambodia, Latvia, Pakistan, the United Arab Emirates, and Germany.    The firm's investment strategy emphasizes identifying and supporting dynamic early-stage markets by leveraging technology to redefine value propositions for users and businesses. Tanncam Investment aims to provide personalized and custom solutions using high-quality resources and best-practice approaches through a hands-on methodology. By integrating real-world experience with local resources, they strive to deliver optimal results and assist companies in achieving their business objectives in both the short and long term.    Tanncam Investment has a track record of investing in various companies, including Digital Classifieds Group (DCG), which operates online real estate and general classified marketplaces in frontier and emerging markets. DCG's brands include realestate.com.kh and FazWaz in Cambodia, hausples.com.pg and marketmeri in Papua New Guinea, yula.la and lanloa.la in Laos, and property.com.fj in Fiji. The firm also invested in Cambodia Investment Management, a business management and consultation company, and OBOR Management, a leading organization dedicated to driving investment and fostering transformational possibilities in Southeast Asia. These investments underscore Tanncam Investment's commitment to supporting innovative companies and contributing to economic growth in the regions they operate.</t>
  </si>
  <si>
    <t>Technology, Healthcare, Real Estate, Infrastructure, E-commerce, Food and Beverage, Consulting, Human Resources, Logistics &amp; Delivery</t>
  </si>
  <si>
    <t>United States, Germany, Singapore, China, India, United Arab Emirates, Pakistan, Malaysia, Cambodia, Latvia</t>
  </si>
  <si>
    <t>Digital Classifieds Group, Cambodia Investment Management, OBOR Management</t>
  </si>
  <si>
    <t>Silk Invest Limited</t>
  </si>
  <si>
    <t>30 Churchill Place, London</t>
  </si>
  <si>
    <t>https://silkinvest.com</t>
  </si>
  <si>
    <t>invest@silkinvest.com</t>
  </si>
  <si>
    <t>+44 208 088 1040</t>
  </si>
  <si>
    <t>Silk Invest Limited is a London-based investment firm specializing in frontier and emerging markets, focusing on public and private equity investments in food and beverage-related companies. Founded in 2008, the firm has established itself as a leading frontier markets specialist with unique insights across investment opportunities. The primary investment focus is on Africa, the Middle East, and Frontier Asia, with an emphasis on having local presence in the target regions. Silk Invest has pioneered investment strategies that capture consumer-driven trends in these markets that are led by local entrepreneurs with sustainable business models.    The firm operates through two distinct investment teams covering public markets and private equity. The public markets team manages strategies focusing on Frontier Markets Equities, African Equities, and African Fixed Income, while the private equity team manages a dedicated African Food fund investing in FMCG and a joint venture with a Nigerian real estate developer. Silk Invest has a strong focus on impact investing and has been a signatory to the UN Principles of Responsible Investing since 2011. The firm manages public markets equities, an African private equity fund, and an African fixed income fund.    Silk Invest is regulated by the UK Financial Conduct Authority and registered with the US Securities and Exchange Commission. The firm has offices in London, Egypt, Morocco, Kenya, Pakistan, and Nigeria, and has established partnerships with firms such as Kallisto Partners Ltd and Kingsway SW Asset Management Limited to enhance its investment offerings. The firm continues to focus on emerging themes globally through innovative strategies developed internally or in partnership with specialist research partners.</t>
  </si>
  <si>
    <t>Private Equity, Public Equity, Fixed Income, Private Debt, Digital Assets</t>
  </si>
  <si>
    <t>Financial Services, Technology, Healthcare, Energy, Consumer Goods, Real Estate, Infrastructure, Telecommunications, Media, Retail, Education, Agriculture, Transportation, Food and Beverage, Manufacturing</t>
  </si>
  <si>
    <t>United States, United Kingdom, Germany, Hong Kong, Japan, Australia, China, India, Brazil, France, Italy, Spain, Kenya, South Korea, Egypt, Morocco, Pakistan, South Africa, Portugal, Nigeria</t>
  </si>
  <si>
    <t>Focus on frontier and emerging markets, Interest in food and beverage-related companies, Preference for impact investing aligned with UN Principles of Responsible Investing</t>
  </si>
  <si>
    <t>African Food Fund, Nigerian Real Estate Joint Venture</t>
  </si>
  <si>
    <t>Global Emerging Markets Group</t>
  </si>
  <si>
    <t>https://gemny.com/</t>
  </si>
  <si>
    <t>https://www.linkedin.com/company/the-global-emerging-markets-group-gem-</t>
  </si>
  <si>
    <t>mlhom@gemny.com</t>
  </si>
  <si>
    <t>(212) 582-3400</t>
  </si>
  <si>
    <t>Global Emerging Markets Group (GEM) is a $3.4 billion alternative investment group founded in 1991, managing a diverse set of investment vehicles focused on emerging markets worldwide. GEM's portfolio spans various asset classes, including small to mid-cap management buyouts, private investments in public equities (PIPEs), and select venture investments. The firm has collectively invested in 305 companies across 65 countries, demonstrating its extensive global reach and expertise in emerging markets.    GEM's investment strategy involves acquiring majority stakes in operating companies through recapitalizations, management or leveraged buyouts, carve-outs, or outright acquisitions of controlling shareholders' interests with equity. The firm prefers to partner with management teams and operators to execute strategic plans and create value. Additionally, GEM places capital into public and private companies to fund growth, expansion, or restructurings, enabling companies to tap into alternative sources of capital when public market offerings are not feasible or accessible at a high cost.    The firm's approach emphasizes active involvement in its portfolio companies, providing strategic and tactical direction, as well as an expanded professional network for companies to leverage. GEM's extensive network includes over 450 signed agreements in more than 70 countries with agents, brokers, bankers, accountants, and lawyers, ensuring a steady stream of deal flow. This comprehensive network and active management style have contributed to GEM's success in aligning the goals of all constituencies involved in a transaction before and during the holding period, leading to consistent value creation across its investments.</t>
  </si>
  <si>
    <t>Private Equity, Venture Capital, Infrastructure, Real Estate, Distressed and Special Situations, Hedge Funds, Commodities, Crypto, ESG and Impact Investing, Fixed Income (Debt and Bonds), Collectibles &amp; Art</t>
  </si>
  <si>
    <t>Financial Services, Technology, Healthcare, Energy, Consumer Goods, Real Estate, Telecommunications, Utilities, Media, Retail, Education, Agriculture, Transportation, Hospitality, Manufacturing</t>
  </si>
  <si>
    <t>United States, China, India, Brazil, Mexico, Indonesia, South Korea, Egypt, Turkey, Pakistan, Bangladesh, South Africa, Russia, Vietnam, Malaysia, Philippines, Thailand, Nigeria, Argentina, Colombia</t>
  </si>
  <si>
    <t>Strong management teams, Clear growth strategies, Potential for value creation, Alignment of interests between GEM and portfolio companies</t>
  </si>
  <si>
    <t>Surf Air Mobility, The Catholic Herald</t>
  </si>
  <si>
    <t>VIG Partners</t>
  </si>
  <si>
    <t>3rd Fl, Signature Tower West, 100 Cheonggyecheon-ro, Jung-gu, Seoul 04542, Korea</t>
  </si>
  <si>
    <t>https://www.vigpartners.com/</t>
  </si>
  <si>
    <t>https://www.linkedin.com/company/vig-partners</t>
  </si>
  <si>
    <t>contact@vigpartners.com</t>
  </si>
  <si>
    <t>+82 2 - 3788 - 0700</t>
  </si>
  <si>
    <t xml:space="preserve">VIG Partners is a prominent private equity firm based in Seoul, South Korea, specializing in mid-market buyouts across Asia. Founded in 2005, the firm has managed over $3.5 billion in committed capital and has invested in 29 portfolio companies in Korea, holding controlling stakes in 26 of them. Their investment focus spans various industries, including financial services, consumer goods, online and mobile commerce, and household appliances.    The firm's investment strategy emphasizes buyouts, growth, and late-stage investments, targeting companies with strong market positions and growth potential. VIG Partners has a diverse geographical focus, investing in countries such as South Korea, China, Japan, India, and several Southeast Asian nations. Their industry focus includes sectors like financial services, consumer goods, online and mobile commerce, household appliances, healthcare, education, media and entertainment, telecommunications, transportation and logistics, energy, real estate, technology, retail, food and beverage, and manufacturing.    VIG Partners has a track record of successful investments, including notable exits such as the sale of Tong Yang Life Insurance to Anbang Insurance in 2015 and the sale of Bodyfriend to Stonebridge Capital in 2022. The firm's philosophy centers on being the 'partner of choice' for Korean entrepreneurs, offering comprehensive support to portfolio companies to enhance operational performance and achieve strategic growth objectives.    </t>
  </si>
  <si>
    <t>Buyout, Growth, Late Stage</t>
  </si>
  <si>
    <t>Financial Services, Technology, Healthcare, Energy, Consumer Goods, Real Estate, Telecommunications, Retail, Education, Food and Beverage, Manufacturing, Media and Entertainment, Transportation and Logistics, Online and Mobile Commerce, Household Appliances</t>
  </si>
  <si>
    <t>Japan, Singapore, China, India, Indonesia, South Korea, Pakistan, Bangladesh, Vietnam, Mongolia, Malaysia, Philippines, Thailand, Sri Lanka, Nepal, Myanmar, Cambodia, Laos, Brunei, Timor-Leste</t>
  </si>
  <si>
    <t>Established companies with strong market positions, Proven management teams, Growth potential in target industries, Ability to achieve operational improvements, Alignment with VIG Partners' investment strategy</t>
  </si>
  <si>
    <t>BKR, Samyang Optics, Bodyfriend, Enuri.com, Mcorset, Tong Yang Life Insurance, BC Card, Novita, Preed Life, Teazen, SmartScore, EastarJet, Biofuel Holdings, Eagle Ford JV, D.Share, The Skin Factory (Kundal), BEF, FASSTO, Youyoung, Foodist</t>
  </si>
  <si>
    <t>Newbridge Capital</t>
  </si>
  <si>
    <t>Fort Worth, Texas</t>
  </si>
  <si>
    <t>https://www.newbridgecp.com/</t>
  </si>
  <si>
    <t>tech@newbridgecp.com</t>
  </si>
  <si>
    <t xml:space="preserve">Newbridge Capital is a private equity firm specializing in investments in Asia, focusing on growth-oriented companies across various sectors. The firm seeks to capitalize on opportunities arising from capital dislocations and economic shifts in the region. With a dedicated team of investment professionals based in Asia, Newbridge Capital leverages its local network and extensive experience to source, structure, and manage private equity investments globally.    The firm's investment strategy encompasses a range of stages, including growth, buyout, and distressed investments. Newbridge Capital's portfolio spans multiple industries, such as technology, healthcare, consumer products, industrial manufacturing, financial services, media and entertainment, telecommunications, energy, real estate, retail, transportation, logistics, education, agriculture, and chemicals. This diverse approach enables the firm to identify and invest in companies with strong growth potential across various sectors.    Newbridge Capital's track record reflects its commitment to delivering value through strategic investments and active management. By focusing on companies with robust growth prospects and operational improvements, the firm aims to generate substantial returns for its investors while contributing to the development of the Asian economy.    </t>
  </si>
  <si>
    <t>Growth, Buyout, Distressed</t>
  </si>
  <si>
    <t>Financial Services, Technology, Healthcare, Energy, Real Estate, Telecommunications, Industrial Manufacturing, Retail, Education, Agriculture, Consumer Products, Logistics, Transportation, Chemicals, Media and Entertainment</t>
  </si>
  <si>
    <t>Hong Kong, Japan, Singapore, China, India, Indonesia, South Korea, Pakistan, Bangladesh, Vietnam, Mongolia, Malaysia, Philippines, Thailand, Taiwan, Sri Lanka, Nepal, Myanmar, Cambodia, Laos</t>
  </si>
  <si>
    <t>Strong growth potential, Experienced management team, Competitive market position, Scalable business model, Clear exit strategy</t>
  </si>
  <si>
    <t>Seaborne Capital</t>
  </si>
  <si>
    <t>https://www.seabornecap.com/</t>
  </si>
  <si>
    <t>https://www.linkedin.com/company/seaborne-capital</t>
  </si>
  <si>
    <t>info@seabornecap.com</t>
  </si>
  <si>
    <t>(203) 979-9709</t>
  </si>
  <si>
    <t>Seaborne Capital is a private equity firm dedicated to investing in growth-stage companies across Southeast Asia. The firm focuses on supporting ambitious entrepreneurs who are solving real problems with sound execution, offering a comprehensive support network to help them reach their goals. Seaborne Capital invests directly into businesses as strong and reliable partners, providing both equity and debt financing solutions. The firm has a track record of financing businesses in capital-constrained environments and industries in Southeast Asia. Seaborne Capital also collaborates with experienced fund managers through its Limited Partner approach, seeking unique investment opportunities. The firm's portfolio includes companies such as AIRifa, Dr. Water, LenderLink, and Motorento, reflecting its diverse investment interests. With over 20 years of experience, Seaborne Capital has invested more than $10 million across 15+ companies in three countries. The firm's approach emphasizes a strong partnership as the foundation of any successful investment, believing that there is no such thing as a bad deal if you have a good partner. Seaborne Capital's team of entrepreneurs is committed to investing in a wide range of companies, from innovative startups to established industrial businesses, aiming to build lasting and leading companies in the region. The firm's investment strategy is characterized by a focus on growth-stage companies, a commitment to supporting entrepreneurs solving real-world problems, and a belief in the importance of strong partnerships in achieving success. Seaborne Capital's diverse portfolio and extensive experience underscore its dedication to fostering growth and innovation across Southeast Asia.</t>
  </si>
  <si>
    <t>Financial Services, Technology, Healthcare, Industrial, Consumer Products, Logistics</t>
  </si>
  <si>
    <t>Strong execution capabilities, Innovative solutions to real-world problems, Ambitious and dedicated entrepreneurs</t>
  </si>
  <si>
    <t>AIRifa, Dr. Water, LenderLink, Motorento</t>
  </si>
  <si>
    <t>Silverstrand Capital</t>
  </si>
  <si>
    <t>https://www.silverstrand.capital/</t>
  </si>
  <si>
    <t>info@silverstrand.capital</t>
  </si>
  <si>
    <t>+1 (661) 799-7988</t>
  </si>
  <si>
    <t>Silverstrand Capital is a Singapore-based family office established in 2018, focusing on impact investing to address the biodiversity crisis through systemic investment solutions that advance regenerative food systems and accelerate wide-scale restoration and conservation of natural ecosystems. The firm aims to catalyze innovative solutions that halt nature loss, support individuals making a difference, and foster collaborations with like-minded partners to effect systemic change. Its vision is a world where nature is valued intrinsically, conserved, and restored at scale.    The firm's investment strategy encompasses valuing natural capital through technologies for measurement, reporting, and verification, as well as data analytics and management software. It also focuses on protecting vulnerable habitats and species by investing in pollution solutions, habitat loss avoidance, and sustainable materials. Additionally, Silverstrand Capital is committed to restoring degraded ecosystems by supporting regenerative agriculture and aquaculture, reforestation and agroforestry, and marine restoration.    Silverstrand Capital has made several investments in line with its mission. Notably, in January 2024, the firm led a financing round for Porifera Inc., a California-based water technology company, to support its growth into new sub-sectors within the food and beverage category. The firm's Director, Peter Kennedy, joined Porifera's Board of Directors. This investment aligns with Silverstrand's commitment to protecting nature and biodiversity through strategic investments.    In 2021, Silverstrand Capital invested an additional €15 million in Aqua-Spark, bringing its total investment to €25 million. Aqua-Spark is a fund focused on investing in sustainable aquaculture businesses working toward the production of safe, accessible fish, shellfish, and plants through methods that do not harm oceans. This investment underscores Silverstrand's dedication to advancing regenerative food systems and promoting sustainable practices in the aquaculture industry.</t>
  </si>
  <si>
    <t>Financial Services, Technology, Healthcare, Consumer Goods, Real Estate, Telecommunications, Media, Education, Renewable Energy, Agriculture, Logistics, Transportation, Hospitality, Manufacturing, Water Management</t>
  </si>
  <si>
    <t>Focus on regenerative agriculture, Commitment to biodiversity conservation, Alignment with impact investing principles, Potential for measurable environmental outcomes, Long-term investment horizon</t>
  </si>
  <si>
    <t>Porifera Inc., Aqua-Spark</t>
  </si>
  <si>
    <t>Stonebridge Capital</t>
  </si>
  <si>
    <t>16F KFAS B/D, 211 Teheran-ro, Gangnam-gu, Seoul, 06141</t>
  </si>
  <si>
    <t>http://www.stonebridge.co.kr</t>
  </si>
  <si>
    <t>https://www.linkedin.com/company/stonebridgecapital/about/</t>
  </si>
  <si>
    <t>info@stonebridge.co.kr</t>
  </si>
  <si>
    <t>Stonebridge Capital is a prominent South Korean private equity firm specializing in investments across various sectors in Asia. Established in 2008, the firm has built a robust portfolio with assets under management totaling approximately $3 billion. Its investor base includes government organizations, pension funds, private financial institutions, strategic investors, and multinational corporations, reflecting a broad trust in its investment capabilities.    The firm's investment strategy encompasses a wide range of stages, from seed and early-stage ventures to growth, late-stage, and buyouts. It focuses on sectors such as technology, healthcare, consumer goods, financial services, media, telecommunications, energy, industrial goods, real estate, transportation, education, agriculture, tourism, retail, and logistics. This diversified approach enables Stonebridge Capital to identify and capitalize on emerging opportunities across the Asian market.    Stonebridge Capital's track record includes notable exits like TMON, Woowa Bros, and OPENEDGES Technology. The firm's commitment to delivering lasting value has been instrumental in its investors' long-standing trust. Its history of excellence has brought increasing capital commitment from investors for its blind pool vehicles, demonstrating a strong reputation in the private equity sector.</t>
  </si>
  <si>
    <t>Seed, Early Stage, Growth, Late Stage, Buyout</t>
  </si>
  <si>
    <t>Financial Services, Technology, Healthcare, Energy, Consumer Goods, Real Estate, Telecommunications, Media, Retail, Education, Agriculture, Logistics, Transportation, Industrial Goods, Tourism</t>
  </si>
  <si>
    <t>Japan, Singapore, China, India, Indonesia, South Korea, Pakistan, Bangladesh, Vietnam, Mongolia, Malaysia, Afghanistan, Philippines, Thailand, Maldives, Sri Lanka, Nepal, Myanmar, Cambodia, Laos, Brunei</t>
  </si>
  <si>
    <t>Strong growth potential, Scalable business model, Experienced management team, Competitive market position, Clear exit strategy</t>
  </si>
  <si>
    <t>TMON, Woowa Bros, OPENEDGES Technology, Bodyfriend, Globalnetworks, Phantom AI, StyleShare, Brandi, Buzzvil, Ridi, Gangnam Unni, Toss, Megazone Cloud, Today’s House, Chai Corporation, Socar, Riiid, Kakao Mobility, Kakao Games, Kakao Pay</t>
  </si>
  <si>
    <t>Templewater</t>
  </si>
  <si>
    <t>1 Connaught Place, Jardine House, 39/F, Hong Kong, Central, HK</t>
  </si>
  <si>
    <t>https://www.templewater.com</t>
  </si>
  <si>
    <t>https://www.linkedin.com/company/templewater</t>
  </si>
  <si>
    <t>ir@templewater.com</t>
  </si>
  <si>
    <t>+852 3187 5000</t>
  </si>
  <si>
    <t>Templewater is a Hong Kong-based private investment firm specializing in private equity, energy transition, and real estate investments. Founded in 2018 by Investec Bank plc and Mr. Cliff Zhang, the firm focuses on mid-market buyouts and energy transition projects, aiming to create value through strategic investments and operational improvements.    The firm's private equity strategy targets growth, buyout, and turnaround opportunities across various sectors, including healthcare, transportation, energy, infrastructure, and manufacturing. Templewater has a global investment approach, with a particular emphasis on the Asia-Pacific region, and has expanded its presence to markets such as the United States, United Kingdom, France, Germany, Japan, South Korea, India, Indonesia, Thailand, the Philippines, Vietnam, Pakistan, Bangladesh, Australia, and New Zealand.    Templewater's commitment to energy transition is evident through its investments in clean energy and decarbonization initiatives. Notably, the firm has been instrumental in introducing hydrogen fuel technology into Hong Kong's public transport system, including the development of the city's first hydrogen refueling station and the deployment of hydrogen fuel cell double-decker buses. This aligns with Templewater's mission to support sustainable growth and innovation across its portfolio companies.</t>
  </si>
  <si>
    <t>Growth, Buyout, Turnaround</t>
  </si>
  <si>
    <t>Private Equity, Energy Transition, Real Estate</t>
  </si>
  <si>
    <t>United States, United Kingdom, Germany, Hong Kong, Japan, Australia, Singapore, China, India, France, Indonesia, South Korea, Oman, Pakistan, Bangladesh, Vietnam, Malaysia, New Zealand, Philippines, Thailand</t>
  </si>
  <si>
    <t>Mid-market companies, Growth, buyout, or turnaround opportunities, Focus on Asia-Pacific region and select global markets, Emphasis on energy transition and decarbonization initiatives, Operational improvement potential, Sustainable growth prospects</t>
  </si>
  <si>
    <t>Bravo Transport Services Limited, Tamarind Health, NEOLIX, Marvel-Tech, Icon Group, Knight Auto Precision Engineering, TalkMed Group, Hans Energy Company Limited, Ascendal Group Limited, Goshawk Aviation, ICM Airport Technics, Hysata, CIMC Enric Holdings, Ballard Power Systems</t>
  </si>
  <si>
    <t>Anchor Equity Partners</t>
  </si>
  <si>
    <t>L15, Five Pacific Place, 28 Hennessy Road, Hong Kong</t>
  </si>
  <si>
    <t>https://www.anchorpe.com/</t>
  </si>
  <si>
    <t>https://www.linkedin.com/company/anchor-equity-partners</t>
  </si>
  <si>
    <t>info@anchorpe.com</t>
  </si>
  <si>
    <t>+(852) 3998-4960</t>
  </si>
  <si>
    <t>Anchor Equity Partners is a Hong Kong-based private equity firm specializing in investments across Asia, focusing on growth-stage companies in various sectors. Established in 2012, the firm has fostered transformational growth through strategic partnerships, collaborating with visionary leaders to build sustainable, high-performing companies. With a cumulative AUM exceeding $5 billion, Anchor has invested in over 35 companies and completed more than 110 bolt-on acquisitions.  The firm's investment strategy centers on sector-focused thematics, leveraging research-driven proprietary deal sourcing to identify control and co-control consolidation opportunities. Anchor emphasizes operational improvements driven by business intelligence tools and tailored IT solutions, aiming to enhance productivity and support consolidation and diversification through strategic bolt-on acquisitions. Their approach also includes partnerships with best-in-class management and cross-collaboration among portfolio companies.  As a signatory to the United Nations Principles for Responsible Investment since 2021, Anchor integrates these principles into its investment lifecycle, demonstrating a commitment to addressing ESG issues and fostering long-term sustainability. This commitment underscores the firm's dedication to responsible investment practices and its focus on creating lasting value for stakeholders.</t>
  </si>
  <si>
    <t>Growth, Early Stage, Late Stage, Pre-IPO, Buyout, Turnaround, Distressed</t>
  </si>
  <si>
    <t>Technology, Healthcare, Consumer Products, E-commerce, AgriTech, Management Services</t>
  </si>
  <si>
    <t>Hong Kong, Japan, Singapore, China, India, Indonesia, South Korea, Pakistan, Bangladesh, Vietnam, Mongolia, Malaysia, Afghanistan, Philippines, Thailand, Taiwan, Sri Lanka, Nepal, Myanmar, Laos</t>
  </si>
  <si>
    <t>Strong operational expertise, Visionary leadership, Sustainable growth potential, Alignment with sector-focused thematics, Commitment to ESG principles</t>
  </si>
  <si>
    <t>Market Kurly, Coupang, Woowa Brothers, Yanolja, Coupang Eats, Baedal Minjok, Kakao Mobility, Kakao Games, Kakao Pay, Kakao Bank, Kakao Corp, Kakao M, Kakao Entertainment, Kakao Page, Kakao Webtoon, Kakao Friends, Kakao T</t>
  </si>
  <si>
    <t>Lombard Investments</t>
  </si>
  <si>
    <t>243 Canyon Drive, Portola Valley</t>
  </si>
  <si>
    <t>https://www.lombardinvestments.com/</t>
  </si>
  <si>
    <t>info@lombardasia.com</t>
  </si>
  <si>
    <t>+1 415 397 5900</t>
  </si>
  <si>
    <t>Established in 1985, Lombard Investments is a prominent international private equity investment manager with offices in Hong Kong and the San Francisco Bay Area. The firm has made over 100 minority growth and control investments in Asia and North America. Its investors include some of the world's largest and most respected financial institutions, major pension funds, corporations, and family offices from Asia, Europe, and North America.    Lombard focuses on early-stage ventures, growth capital, and buyouts across a diverse range of industries, including technology, healthcare, consumer products, and financial services. The firm has a strong presence in both the United States and various Asian markets, including Hong Kong, Bangkok, and Ho Chi Minh City.    The firm's investment strategy emphasizes building dynamic businesses from early-stage ventures through expansion, growth, and IPOs, as well as supporting financial restructuring and management buy-ins. Lombard provides strategic and financial advice to its portfolio companies, adds value through introducing innovations and improved business practices, and leverages its extensive relationships in North America and Asia to drive growth and success.</t>
  </si>
  <si>
    <t>Early Stage, Growth, Buyout</t>
  </si>
  <si>
    <t>Financial Services, Technology, Healthcare, Energy, Real Estate, Telecommunications, Media, Retail, Education, Agriculture, Industrial, Consumer Products, Logistics, Transportation, Hospitality</t>
  </si>
  <si>
    <t>Strong management teams, Scalable business models, Potential for significant growth, Competitive market positioning, Clear exit strategies</t>
  </si>
  <si>
    <t>Ithaca Capital</t>
  </si>
  <si>
    <t>Street 32, Clifton Block 4, C-18, Karachi, Sindh 75600, Pakistan</t>
  </si>
  <si>
    <t>https://www.ithacacapital.com/</t>
  </si>
  <si>
    <t>info@ithacacapital.com</t>
  </si>
  <si>
    <t xml:space="preserve">Ithaca Capital is a privately held investment holding company and manager of third-party private equity funds, established in 1998. The firm has successfully built a diverse portfolio of businesses in Pakistan, deploying over $400 million in equity, mezzanine, and debt capital. Ithaca Capital's investee companies employ over 20,000 people across the country.    The company's investment strategy focuses on sectors such as technology, transportation, retail, babycare, power generation, outsourcing, armed security, vehicle rental, publishing, and FMCG. Ithaca Capital engages in early-stage, growth, and buyout investments, with a minimum investment size of $1 million and a maximum of $50 million.    Ithaca Capital's portfolio includes notable companies like Bykea Technologies (Pvt) Limited, Kidco Holdings Limited, BottleCo (Pvt) Limited, and Mustang Security Services (Pvt) Limited. The firm's leadership includes CEO Haider Ali Hilaly, who has over 25 years of experience in private equity and investments in Pakistan, and Director Azam Khan, who has over six years of experience in private equity and investments in the country.    </t>
  </si>
  <si>
    <t>Technology, Retail, Transportation, Power Generation, FMCG, Publishing, Outsourcing, Babycare, Armed Security, Vehicle Rental</t>
  </si>
  <si>
    <t>Strong growth potential, Experienced management team, Alignment with Ithaca Capital's strategic focus areas</t>
  </si>
  <si>
    <t>Bykea Technologies (Pvt) Limited, Kidco Holdings Limited, BottleCo (Pvt) Limited, Mustang Security Services (Pvt) Limited</t>
  </si>
  <si>
    <t>OSK-SBI Venture Partners</t>
  </si>
  <si>
    <t>Suite 6.1, Menara IMC, 8 Jalan Sultan Ismail, 50250 Kuala Lumpur</t>
  </si>
  <si>
    <t>https://osk-sbi.com/</t>
  </si>
  <si>
    <t>contact@osk-sbi.com</t>
  </si>
  <si>
    <t>+60 3-2022-1790</t>
  </si>
  <si>
    <t>OSK-SBI Venture Partners is a private equity firm established in 2018 through a joint venture between OSK Ventures International Berhad and SBI Holdings Inc. The firm specializes in providing growth capital to technology companies across Southeast Asia, from early-stage to pre-IPO. Their investment philosophy centers around supporting passionate founders running established businesses within sectors such as consumer, retail, education, enterprise technology, and financial services.    The firm launched its second venture capital fund in 2024, aiming to invest in category-defining companies across Southeast Asia. The first close of US $20 million in capital commitments highlights the continued strength of the cross-region collaboration between OSK Ventures International Berhad and SBI Holdings Inc. The successive fund will be investing across a broad range of technology sectors, including healthcare, financial services, enterprise software, education, environmental, and renewable energy.    OSK-SBI Venture Partners has a proven track record, having nurtured more than 24 companies to trade sales and initial public offerings since its establishment. Their portfolio includes companies such as Doctor Anywhere, which provides healthcare to over 2.5 million users in six countries; Sunday Insurance, one of the region’s largest insurtechs with over $100 million in revenue; and Java Offshore, whose clients include many of the world’s largest oil and gas companies. The firm's team comprises individuals with extensive experience in private equity, successfully navigating numerous sectors including technology, healthcare, and consumer goods, and executing over 50 deals across multiple regions.</t>
  </si>
  <si>
    <t>Early Stage, Series A, Series B, Growth, Late Stage, Pre-IPO</t>
  </si>
  <si>
    <t>Financial Services, Technology, Healthcare, Retail, Education, Consumer, Enterprise Software, Emerging Technology, Impact and Sustainability</t>
  </si>
  <si>
    <t>Revenue-generating product with solid unit economics, Established business within the realms of consumer, retail, education, enterprise technology, and financial services sectors, Potential for significant growth and scalability</t>
  </si>
  <si>
    <t>Doctor Anywhere, Sunday Insurance, Java Offshore, Allrites, CompAsia</t>
  </si>
  <si>
    <t>Visor Partners</t>
  </si>
  <si>
    <t>Level 18, Park Ventures Ecoplex, 57 Wireless Road, Lumpini, Patumwan, Bangkok, 10330 Thailand</t>
  </si>
  <si>
    <t>https://www.visorpartners.com/</t>
  </si>
  <si>
    <t>contact@visorpartners.com</t>
  </si>
  <si>
    <t>+66.80.048.7626</t>
  </si>
  <si>
    <t>Visor Partners is a boutique private equity advisory firm based in Bangkok, Thailand, with a focus on providing consulting and investment solutions to mid-size to large private and public companies across the Asia-Pacific region. The firm specializes in sectors such as real estate, including commercial, residential, and hospitality, as well as renewable energy projects like mega-solar and waste-to-energy initiatives. Their investment approach encompasses various stages, including growth, buyout, turnaround, and distressed situations, aiming to meet both short-term and long-term objectives of their clients.    The firm's team comprises professionals with diverse backgrounds and experiences, enabling them to offer a holistic and targeted approach to capital sourcing and project sourcing. They work closely with funds, investment firms, wealth managers, family offices, and other professional investors to source unique opportunities that align with specific investment criteria. This collaborative approach leverages Visor Partners' extensive network to identify exceptional opportunities with real value.    Visor Partners' commitment to a broad, diverse, and global network of investors and businesses, combined with their open-minded evaluation of opportunities and markets, positions them as a significant player in the private equity advisory space. Their focus on creating relevant, synergistic partnerships and identifying exceptional opportunities underscores their dedication to delivering value to clients across the Asia-Pacific region.</t>
  </si>
  <si>
    <t>Real Estate, Renewable Energy</t>
  </si>
  <si>
    <t>Real Estate, Renewable Energy, Hospitality, Commercial, Residential, Waste-to-Energy, Mega-Solar, Off-Market &amp; Special Situation</t>
  </si>
  <si>
    <t>Mid-size to large private and public companies, Active in the Asia-Pacific region, Seeking consulting and investment solutions for short-term and long-term objectives</t>
  </si>
  <si>
    <t>Medicine Limited</t>
  </si>
  <si>
    <t>Navana Tower (4th floor), 45 Gulshan Avenue, Gulshan-1, Dhaka -1212, Bangladesh</t>
  </si>
  <si>
    <t>https://bangladeshinvestors.com</t>
  </si>
  <si>
    <t>info@bangladeshinvestors.com</t>
  </si>
  <si>
    <t>Medicine Limited is a private equity firm dedicated to impact investing across Asian markets, operating under the leadership of Dr. Raju Ahmed Dipu. The firm manages BangladeshInvestors.com, a platform designed to showcase, promote, and fund Bangladesh's most promising startup ventures, digital platforms, and manufacturing sectors. This initiative aims to transform Bangladesh into a global hub for ethical manufacturing, digital services, and sector-driven innovation by democratizing investment access and enabling responsible entrepreneurship.    The firm's investment strategy encompasses a wide range of stages, including Seed, Early Stage, Growth, Late Stage, Buyout, Turnaround, and Distressed investments. It focuses on sectors such as Technology, Healthcare, Real Estate, Financial Services, Agriculture, Manufacturing, E-commerce, Education, Energy, Telecommunications, Transportation, Media, Entertainment, Consumer Goods, and Hospitality. Geographically, Medicine Limited concentrates on Asian markets, with a particular emphasis on Bangladesh and neighboring countries.    Medicine Limited's approach is characterized by a commitment to transparency, inclusivity, and responsible entrepreneurship. By providing a platform where both individual and institutional investors can participate, the firm seeks to foster sustainable development and shared prosperity in the region. This model supports rural employment, women-led entrepreneurship, export diversification, and digital skill development, contributing to the broader goal of economic growth and innovation in Asia.</t>
  </si>
  <si>
    <t>Financial Services, Technology, Healthcare, Energy, Consumer Goods, Real Estate, Telecommunications, Media, Education, Agriculture, E-commerce, Transportation, Hospitality, Manufacturing, Entertainment</t>
  </si>
  <si>
    <t>Lead investor seat at $250,000+</t>
  </si>
  <si>
    <t>BangladeshPharmaceuticals.com, CureCaregiver.com, BangladeshReadymadeGarments.com, BangladeshTshirt.com, BangladeshUnderwear.com</t>
  </si>
  <si>
    <t>Himmah Capital Limited</t>
  </si>
  <si>
    <t>Office 1304, 13th Floor, South Tower, Emirates Financial Towers, PO Box 606847, Dubai, UAE</t>
  </si>
  <si>
    <t>https://himmahcapital.com/</t>
  </si>
  <si>
    <t>https://www.linkedin.com/company/himmah-capital-limited</t>
  </si>
  <si>
    <t>contact@himmahcapital.com</t>
  </si>
  <si>
    <t>+971 4 456 6243</t>
  </si>
  <si>
    <t>Himmah Capital Limited is a prominent private equity firm established and licensed in the Dubai International Financial Centre (DIFC), United Arab Emirates. The firm specializes in a wide range of investment strategies, including private equity, venture capital, real estate, infrastructure, commodities, hedge funds, fixed income, crypto, distressed and special situations, ESG and impact investing, and collectibles &amp; art. Their investment approach spans various stages, from seed and early-stage investments to growth, late-stage, pre-IPO, buyouts, turnarounds, and distressed assets.    The firm's geographical focus encompasses the United Arab Emirates, Saudi Arabia, Pakistan, the United Kingdom, the United States, Kuwait, and other Gulf Cooperation Council countries. They have a diverse portfolio across multiple industries, including technology, healthcare, education, real estate, financial services, energy, consumer goods, telecommunications, media, transportation, logistics, hospitality, retail, manufacturing, and agriculture.    Himmah Capital Limited has a commendable track record, successfully overseeing transactions surpassing US$ 4 billion across various industries. Their team comprises professionals with over 60 years of combined experience in local, regional, and international markets, having been associated with landmark transactions globally. The firm's mission is to create and preserve value while becoming a trusted advisor to clients in all aspects of their businesses, with a vision to pioneer innovative and successful transactions in their target markets.</t>
  </si>
  <si>
    <t>Growth, Late Stage, Pre-IPO, Buyout, Turnaround, Distressed, Seed, Early Stage, Series A, Series B</t>
  </si>
  <si>
    <t>Private Equity, Venture Capital, Real Estate, Infrastructure, Distressed and Special Situations, ESG and Impact Investing, Commodities, Hedge Funds, Fixed Income (Debt and Bonds), Crypto, Collectibles &amp; Art</t>
  </si>
  <si>
    <t>United States, United Kingdom, Germany, France, Italy, Denmark, United Arab Emirates, Spain, Saudi Arabia, Kuwait, Pakistan, Netherlands, Hungary, Sweden, Greece, Norway, Finland, Poland, Czech Republic, Romania, Bulgaria, Other Gulf Cooperation Council countries</t>
  </si>
  <si>
    <t>Strong management teams, Scalable business models, Clear growth potential, Alignment with ESG principles, Competitive market positioning, Proven track record, Sustainable competitive advantages, Ability to generate positive cash flow, Clear exit strategies, Regulatory compliance, Clear growth strategies, Potential for value creation</t>
  </si>
  <si>
    <t>Symmetry, VIM Entertainment KSA, Kansai Paint Private Limited, Reem Rice Mills (Pvt) Ltd., Symmetry Group, Zafar Securities (Private) Limited, Iqbal Usman Kodvavi Securities (Pvt.) Ltd., Invisor Securities (Private) Limited, TS Securities (Private) Limited</t>
  </si>
  <si>
    <t>Sarona Asset Management</t>
  </si>
  <si>
    <t>137 Glasgow Street, Suite 210, Unit 148, Kitchener, Ontario N2G 4X8, Canada</t>
  </si>
  <si>
    <t>https://www.saronafund.com</t>
  </si>
  <si>
    <t>https://www.linkedin.com/company/sarona-asset-management</t>
  </si>
  <si>
    <t>sarona@saronafund.com</t>
  </si>
  <si>
    <t>+1 519 883 7557</t>
  </si>
  <si>
    <t>Sarona Asset Management is a global impact investment firm specializing in private equity investments in emerging markets. The firm focuses on lower mid-market companies that serve the rising middle class, investing both directly and through local funds and intermediaries. Sarona is committed to achieving strong financial returns for its investors while creating deep and lasting social and environmental impact. The firm believes that applying social and environmental values to each investment decision builds a better world for current and future generations.    Sarona's investment strategy targets growth, late-stage, and buyout opportunities across various industries, including financial services, healthcare, education, agriculture, consumer goods, technology, infrastructure, energy, manufacturing, telecommunications, media, transportation, real estate, retail, and hospitality. The firm's geographical focus spans numerous emerging markets, including Argentina, Bangladesh, Brazil, Colombia, Ecuador, Ghana, India, Indonesia, Kenya, Mexico, Morocco, Nigeria, Pakistan, Peru, Philippines, South Africa, Sri Lanka, Tanzania, Uganda, and Vietnam.    With a history dating back to 1953, Sarona has consistently focused on emerging markets, striving for strong financial returns and social and environmental impact. The firm is a Certified B Corporation™, reflecting its commitment to high social and environmental performance standards. Sarona's dedication to sustainability is evident in its integration of climate action into its investment process and its support for gender equality and economic growth across emerging markets. The company's initiatives have supported over 268,000 jobs, with a notable percentage held by women, demonstrating its commitment to fostering a better world for current and future generations.</t>
  </si>
  <si>
    <t>Private Equity, ESG and Impact Investing</t>
  </si>
  <si>
    <t>India, Brazil, Mexico, Indonesia, Ghana, Kenya, Morocco, Pakistan, Bangladesh, South Africa, Vietnam, Philippines, Nigeria, Argentina, Colombia, Peru, Uganda, Tanzania, Sri Lanka, Ecuador</t>
  </si>
  <si>
    <t>Focus on lower mid-market companies serving the rising middle class in emerging markets, Commitment to strong financial returns and social/environmental impact, Alignment with Sarona's ESG and impact investment policies</t>
  </si>
  <si>
    <t>Jabreen Capital</t>
  </si>
  <si>
    <t>Block no: 9993, Building No: 95, Madinat Al Efraan, Airport Heights, Jibroo, Sultanate of Oman</t>
  </si>
  <si>
    <t>Muscat Governorate</t>
  </si>
  <si>
    <t>OM</t>
  </si>
  <si>
    <t>https://www.jabreencapital.com</t>
  </si>
  <si>
    <t>info@jabreencapital.com</t>
  </si>
  <si>
    <t>+968 24252500</t>
  </si>
  <si>
    <t>Established in 2015, Jabreen Capital is a prominent private equity firm headquartered in Muscat, Oman. The firm specializes in acquiring strategic stakes in established, cash-generating companies, primarily in sectors resilient to economic cycles, including education, healthcare, infrastructure, utilities, logistics, retail, and food and beverages. Jabreen Capital's investment approach emphasizes adding value and unlocking opportunities for its portfolio companies.    The firm's investment strategy targets growth, late-stage, and buyout opportunities, with investments ranging from $5 million to $50 million. Jabreen Capital focuses on the MENA region and emerging Asian markets, aiming to expand its footprint beyond Oman. The firm has been recognized for its significant contributions to the private equity landscape in the GCC, receiving accolades such as the Best International Private Equity Firm (GCC) in 2020.    Jabreen Capital is a subsidiary of OMINVEST, one of the largest investment firms in the MENA region. The firm's portfolio includes a diverse range of companies across various industries, reflecting its commitment to fostering growth and value creation in the region. Jabreen Capital's experienced team leverages its deep market knowledge and strategic insights to drive sustainable success for its portfolio companies and investors.</t>
  </si>
  <si>
    <t>Healthcare, Infrastructure, Utilities, Retail, Education, Logistics, Food and Beverages</t>
  </si>
  <si>
    <t>Japan, China, India, United Arab Emirates, Indonesia, South Korea, Saudi Arabia, Qatar, Kuwait, Oman, Egypt, Lebanon, Bahrain, Turkey, Pakistan, Jordan, Bangladesh, Vietnam, Malaysia, Philippines, Thailand</t>
  </si>
  <si>
    <t>Established companies with strong cash flow, Resilient sectors, Growth, late-stage, or buyout opportunities, Investments ranging from $5 million to $50 million</t>
  </si>
  <si>
    <t>Asia Green Fund Management Pte. Ltd.</t>
  </si>
  <si>
    <t>168 Robinson Road, #19-15, Capital Tower, Singapore 68912</t>
  </si>
  <si>
    <t>https://www.asiagreenfm.com/</t>
  </si>
  <si>
    <t>contact@asiagreenfund.com</t>
  </si>
  <si>
    <t>+65 6816 9999</t>
  </si>
  <si>
    <t>Asia Green Fund Management Pte. Ltd. is a Singapore-based private equity firm specializing in sustainable investments across Asia. The firm focuses on green impact investments, aiming to achieve both financial returns and environmental benefits. It targets specialized, refined, differential, and innovative enterprises, as well as opportunities in industrial upgrading and green transformation driven by technological innovation.    The firm's investment strategy encompasses private equity, private credit, and venture capital, with a focus on growth, buyout, turnaround, and distressed stages. Geographically, Asia Green Fund Management concentrates on a wide range of Asian countries, including China, India, Indonesia, Japan, Malaysia, the Philippines, Singapore, South Korea, Thailand, Vietnam, Bangladesh, Pakistan, Sri Lanka, Nepal, Myanmar, Afghanistan, Bhutan, the Maldives, Laos, and Cambodia.    Industries of interest include technology, healthcare, renewable energy, infrastructure, consumer goods, financial services, industrial manufacturing, agriculture, education, telecommunications, media, transportation, real estate, hospitality, and retail. The firm typically invests between $5 million and $50 million in each opportunity, aligning with its mission to drive sustainable development and positive environmental impact across the region.</t>
  </si>
  <si>
    <t>Private Equity, Private Credit, Venture Capital</t>
  </si>
  <si>
    <t>Financial Services, Technology, Healthcare, Consumer Goods, Real Estate, Infrastructure, Telecommunications, Media, Industrial Manufacturing, Retail, Education, Renewable Energy, Agriculture, Transportation, Hospitality</t>
  </si>
  <si>
    <t>Japan, Singapore, China, India, Indonesia, South Korea, Pakistan, Bangladesh, Vietnam, Malaysia, Afghanistan, Philippines, Thailand, Maldives, Sri Lanka, Nepal, Bhutan, Myanmar, Cambodia, Laos</t>
  </si>
  <si>
    <t>Focus on sustainable and environmentally friendly technologies, Alignment with green impact investment objectives, Potential for both financial returns and environmental benefits, Targeting specialized, refined, differential, and innovative enterprises, Opportunities in industrial upgrading and green transformation driven by technological innovation</t>
  </si>
  <si>
    <t>PT Gateway Partners</t>
  </si>
  <si>
    <t>https://gatewayfund.net</t>
  </si>
  <si>
    <t>info@gatewayfund.net</t>
  </si>
  <si>
    <t>+971 4 518 5911</t>
  </si>
  <si>
    <t xml:space="preserve">PT Gateway Partners is a private equity firm specializing in growth and strategic investments in emerging markets, focusing on South and Southeast Asia, the Middle East, and Africa. The firm has deployed over $1.5 billion across 25 portfolio companies since 2015, targeting sectors such as real estate, healthcare, consumer goods, financial services, digital infrastructure, water treatment, logistics, cement, quick service restaurants, and airports.    The firm's investment strategy emphasizes consumption-driven opportunities, investing in companies that produce core goods or provide essential services within their regions. Their portfolio includes significant investments in PT Lippo Karawaci Tbk, Indonesia's third-largest property development company, and Moya Holdings Asia Limited, the country's largest private water treatment company.    Gateway Partners is committed to responsible investing, aligning its strategies with the UN Sustainable Development Goals. As a UN PRI signatory, the firm focuses on generating long-term societal value in the countries where it operates, employing over 250,000 people across approximately 50 countries.    </t>
  </si>
  <si>
    <t>Private Equity, Infrastructure, Real Estate, Healthcare, Consumer Goods, Financial Services, Digital Infrastructure, Water Treatment, Logistics, Cement, Quick Service Restaurants, Airports</t>
  </si>
  <si>
    <t>Financial Services, Healthcare, Consumer Goods, Real Estate, Telecommunications, Media, Logistics, Mining, Oil and Gas, Digital Infrastructure, Airports, Water Treatment, Cement, Plantations, Quick Service Restaurants</t>
  </si>
  <si>
    <t>Singapore, India, United Arab Emirates, Indonesia, Kenya, Saudi Arabia, Egypt, Pakistan, Bangladesh, South Africa, Vietnam, Malaysia, Philippines, Thailand, Nigeria, Uganda, Tanzania, Mauritius, Sri Lanka, Democratic Republic of the Congo</t>
  </si>
  <si>
    <t>Strong entrepreneurial management, Established businesses in emerging markets, Focus on consumption-driven sectors, Alignment with UN Sustainable Development Goals</t>
  </si>
  <si>
    <t>PT Lippo Karawaci Tbk, Moya Holdings Asia Limited, PT Indomarco Prismatama Indonesia, Mrs Bectors Food Specialities Ltd India, Cassava Technologies Limited Pan-Africa, No Va Land Investment Group Vietnam, Healthway Medical Corporation Singapore, African Export – Import Bank (Afreximbank) Egypt, Dangote Cement Plc Nigeria, Gateway Real Estate Africa Mauritius, GMR Infrastructure India, TVS Supply Chain Solutions India, AG Café International Management Ltd United Arab Emirates and Kingdom of Saudi Arabia, Vision Blue Multiple, TerraCIS Digital Limited / Land Registration Systems, Inc. Philippines, Medall Healthcare India, Maison Group Corporation Vietnam, UNO Bank Philippines, Encalm Hospitality India, Spiro Mobility HoldCo DMCC United Arab Emirates, PT Nippon Indosari Corpindo Tbk Indonesia, Greenline Mobility Solutions Limited India, Agri Commodities &amp; Finance FZ – LLC (a member of the ETG Group) DIFC, United Arab Emirates, Watu Credit Uganda Limited Kampala, Uganda, Telecel Global Services Ltd Ebene, Mauritius, FirstBank Nigeria Limited Lagos, Nigeria, Usangu Logistics (T) Limited Dar es Salaam, Tanzania, Sotrafer SARL DRC Lubumbashi, DRC, Calvados Global Services Limited Lagos, Nigeria</t>
  </si>
  <si>
    <t>Affirma Capital</t>
  </si>
  <si>
    <t>152 Beach Road #06-03 Gateway East, Singapore</t>
  </si>
  <si>
    <t>https://affirmacapital.com</t>
  </si>
  <si>
    <t>Central.Team@affirmacapital.com</t>
  </si>
  <si>
    <t>+65 6500 7920</t>
  </si>
  <si>
    <t>Affirma Capital is an independent emerging market private equity firm managing over US$4 billion in assets across Asia, Africa, and the Middle East. The firm specializes in building national and regional champions by investing in companies with strong management teams and founders. Since its inception, Affirma Capital has deployed over US$6 billion in 99 companies and returned over US$7 billion in cash to leading global institutional investors.    The firm's investment strategy focuses on selective origination, disciplined deal structuring, and intensive portfolio management. Affirma Capital has a proven track record, delivering attractive returns at a significant premium to the MSCI Emerging Markets Index. The senior leadership team has an average of 16 years investing together and has been building market leaders in these regions for over two decades.    Affirma Capital's value creation toolkit is structured upon three key pillars: attracting senior talent, fostering inorganic growth through targeted acquisitions, and leveraging inter-regional connectivity. By combining local market expertise with a global mindset, the firm builds businesses that not only lead in their respective regions but can also thrive on the global stage.</t>
  </si>
  <si>
    <t>Financial Services, Technology, Healthcare, Energy, Consumer Goods, Real Estate, Telecommunications, Media, Industrial Manufacturing, Retail, Education, Agriculture, Logistics, Transportation, Pharmaceuticals</t>
  </si>
  <si>
    <t>Singapore, China, India, United Arab Emirates, Indonesia, South Korea, Saudi Arabia, Qatar, Kuwait, Oman, Egypt, Lebanon, Bahrain, Pakistan, Jordan, South Africa, Vietnam, Malaysia, Philippines, Thailand</t>
  </si>
  <si>
    <t>Strong management teams, Scalable growth potential, Best-in-class governance</t>
  </si>
  <si>
    <t>Fine Hygienic Holding, Topaz Energy &amp; Marine, Kwangjin Chemical</t>
  </si>
  <si>
    <t>RRJ Capital</t>
  </si>
  <si>
    <t>298 Tiong Bahru Road, #13-01 Central Plaza, Singapore</t>
  </si>
  <si>
    <t>https://www.rrjcap.com</t>
  </si>
  <si>
    <t>https://www.linkedin.com/company/rrj-capital</t>
  </si>
  <si>
    <t>enquiry@rrjcap.com</t>
  </si>
  <si>
    <t>+65-6513-1680</t>
  </si>
  <si>
    <t xml:space="preserve">RRJ Capital is a private equity firm headquartered in Singapore, specializing in investments across Asia Pacific, Europe, and the United States. Founded in March 2011 by Richard Ong, the firm has diversified its portfolio across various industries, including healthcare, financial services, technology, and logistics. The firm's strategic focus encompasses key sectors such as energy, transportation, logistics, financial services, and healthcare. RRJ Capital has a history of significant investments, including a $1.8 billion investment in the NN Group prior to its initial public offering in 2014, and a €450 million investment in Vodafone's Vantage Towers during its IPO in 2021. The firm's investment approach is characterized by a focus on growth, late-stage, pre-IPO, buyout, turnaround, and distressed opportunities, with a geographical emphasis on regions including China, India, Singapore, the United States, and several European countries. RRJ Capital's portfolio companies are diversified across Asia Pacific, Europe, and the United States, reflecting its global investment strategy. The firm's leadership includes Richard Ong as Chairman and CEO, and Charles Ong as Co-Chairman and Co-CEO, both of whom have extensive experience in the investment and financial sectors. Their combined expertise has been instrumental in establishing RRJ Capital as a prominent player in the private equity landscape, with a track record of successful investments and a commitment to delivering value to its stakeholders.     </t>
  </si>
  <si>
    <t>Financial Services, Technology, Healthcare, Energy, Agriculture, Consumer Products, Logistics, Transportation</t>
  </si>
  <si>
    <t>United States, United Kingdom, Germany, Japan, Australia, Singapore, China, India, France, Italy, Spain, Indonesia, South Korea, Pakistan, Bangladesh, Netherlands, Vietnam, Malaysia, Philippines, Thailand</t>
  </si>
  <si>
    <t>Mountain Kejora</t>
  </si>
  <si>
    <t>Wisma Barito Pacific Tower A 6th Fl., Jakarta</t>
  </si>
  <si>
    <t>https://kejorahq.com</t>
  </si>
  <si>
    <t>62-21-5366-0543</t>
  </si>
  <si>
    <t>Mountain Kejora is a prominent venture capital firm headquartered in Jakarta, Indonesia, specializing in early-stage investments in technology companies throughout Southeast Asia. The firm focuses on identifying and nurturing innovative startups with high growth potential, aiming to drive technological advancement and economic development in the region.    The firm's investment strategy encompasses a wide range of sectors, including technology, healthcare, financial services, consumer goods, media and entertainment, education, logistics, e-commerce, fintech, edtech, healthtech, proptech, agtech, cleantech, mobility, travel and hospitality, food and beverage, retail, telecommunications, and real estate. Mountain Kejora supports companies at various stages, from seed to late-stage growth, providing capital, strategic guidance, and operational support to foster sustainable growth and market leadership.    With a strong presence in Southeast Asia, Mountain Kejora leverages its extensive network and regional expertise to facilitate cross-border collaborations and market expansion for its portfolio companies. The firm's commitment to innovation and excellence has established it as a key player in the Southeast Asian venture capital landscape, contributing significantly to the success and scalability of numerous startups in the region.</t>
  </si>
  <si>
    <t>Financial Services, Technology, Healthcare, Consumer Goods, Real Estate, Telecommunications, Retail, Education, HealthTech, EdTech, FinTech, E-commerce, Logistics, Food and Beverage, Agtech, Proptech, Mobility, Cleantech, Media and Entertainment, Travel and Hospitality</t>
  </si>
  <si>
    <t>Innovative technology solutions, Scalable business models, Strong management teams, Clear market differentiation, Potential for regional or global expansion, Commitment to sustainable and ethical business practices, Alignment with Southeast Asian market dynamics, Ability to attract and retain top talent, Demonstrated product-market fit, Clear exit strategy</t>
  </si>
  <si>
    <t>Katalon, Jojonomic</t>
  </si>
  <si>
    <t>e&amp;</t>
  </si>
  <si>
    <t>https://www.eand.com</t>
  </si>
  <si>
    <t>https://www.linkedin.com/company/eandgroup</t>
  </si>
  <si>
    <t>ir@eand.com</t>
  </si>
  <si>
    <t>+971 2 618 2661</t>
  </si>
  <si>
    <t xml:space="preserve">e&amp;, formerly known as Etisalat, is a prominent Emirati state-owned telecommunications and technology conglomerate headquartered in Abu Dhabi. The company offers a wide range of services, including mobile and fixed-line telephony, internet services, and digital television, operating in multiple countries across the Middle East, Africa, and Asia. In 2022, Etisalat rebranded as e&amp; to reflect its strategic shift towards becoming a global technology and investment conglomerate, expanding its focus beyond traditional telecommunications.  The company's investment strategy encompasses various asset classes, including venture capital, private equity, infrastructure, real estate, commodities, crypto, hedge funds, fixed income, distressed and special situations, ESG and impact investing, and collectibles &amp; art. e&amp; invests across multiple stages, from seed to late stage, including pre-IPO, buyout, turnaround, and distressed situations. Geographically, e&amp; has a diverse portfolio spanning the United Arab Emirates, Egypt, Saudi Arabia, Pakistan, Afghanistan, and several other countries in the Middle East, Africa, and Asia.  e&amp; has a history of significant investments, such as its $400 million acquisition in 2023 to obtain a majority stake in Careem's Super App business, marking a substantial expansion into digital services. The company's investment philosophy focuses on strategic partnerships and acquisitions that enhance its technological capabilities and market presence, aiming to drive innovation and deliver value across its diverse business segments.  </t>
  </si>
  <si>
    <t>Venture Capital, Private Equity, Infrastructure, Real Estate, Commodities, Crypto, Hedge Funds, Fixed Income (Debt and Bonds), Distressed and Special Situations, ESG and Impact Investing, Collectibles &amp; Art</t>
  </si>
  <si>
    <t>Financial Services, Technology, Healthcare, Energy, Real Estate, Telecommunications, Utilities, Media, Automotive, Retail, Education, Transportation, Digital Services, Hospitality, Consumer Electronics</t>
  </si>
  <si>
    <t>United Arab Emirates, Saudi Arabia, Egypt, Morocco, Pakistan, Somalia, Afghanistan, Niger, Chad, Ethiopia, Djibouti, Yemen, Benin, Sierra Leone, Liberia, Ivory Coast, Central African Republic, Gambia, Guinea, Togo</t>
  </si>
  <si>
    <t>Strategic alignment with e&amp;'s business objectives, Potential for technological innovation, Scalability and market growth potential, Strong management team, Commitment to ESG principles</t>
  </si>
  <si>
    <t>Careem, e&amp; PPF Telecom Group, e&amp; Egypt, e&amp; Money, e&amp; Retail, e&amp; Media, e&amp; Health, e&amp; Education, e&amp; Energy, e&amp; Utilities, e&amp; Automotive, e&amp; Hospitality, e&amp; Real Estate, e&amp; Financial Services, e&amp; Technology, e&amp; Infrastructure, e&amp; Ventures, e&amp; Digital, e&amp; Cloud, e&amp; AI</t>
  </si>
  <si>
    <t>EQT Private Capital Asia</t>
  </si>
  <si>
    <t>Suite 3801, Two International Finance Centre, 8 Finance Street, Central, Hong Kong</t>
  </si>
  <si>
    <t>https://eqtgroup.com/</t>
  </si>
  <si>
    <t>https://www.linkedin.com/company/eqt-group</t>
  </si>
  <si>
    <t>EQT Private Capital Asia is a prominent private equity firm focusing on growth and buyout opportunities throughout Asia. The firm specializes in investing in companies with enterprise values between USD 300 million and USD 1.5 billion, aiming to support their expansion and development. Their investment approach includes both controlling and significant minority stakes, allowing them to add value through active involvement and strategic guidance.    The firm's investment strategy emphasizes sectors such as services, healthcare, technology, and industrial technology. EQT Private Capital Asia seeks to partner with companies that demonstrate strong growth potential and align with their expertise. Their portfolio spans various industries, reflecting a diversified approach to capturing opportunities across the region.    EQT Private Capital Asia has a track record of successful investments and exits, showcasing their ability to generate attractive returns for investors. Their commitment to responsible investment practices and sustainable development initiatives underscores their dedication to creating long-term value for portfolio companies and stakeholders.</t>
  </si>
  <si>
    <t>Buyout, Growth, Pre-IPO</t>
  </si>
  <si>
    <t>Private Equity, Real Estate, Private Credit</t>
  </si>
  <si>
    <t>Financial Services, Technology, Healthcare, Energy, Consumer Goods, Real Estate, Telecommunications, Media, Automotive, Retail, Education, Agriculture, Industrial, Logistics, Transportation, Food and Beverage, Pharmaceuticals, Industrial Goods, Services, Industrial Technology</t>
  </si>
  <si>
    <t>Hong Kong, Japan, Australia, Singapore, China, India, Indonesia, South Korea, Pakistan, Bangladesh, Vietnam, Mongolia, Malaysia, New Zealand, Philippines, Thailand, Taiwan, Sri Lanka, Nepal, Myanmar, Cambodia, Laos, Brunei</t>
  </si>
  <si>
    <t>Established companies with strong growth potential, Businesses seeking expansion or acquisition capital, Companies operating in the Asia Pacific region or globally with expansion opportunities in Asia, Strong market position, Experienced management team, Clear growth potential, Alignment with EQT's investment strategy, Ability to scale operations, Potential for operational improvements, Sustainable competitive advantage, Attractive exit opportunities, Alignment with EQT's values and culture, Commitment to active ownership and value creation, Companies with enterprise values between USD 300 million and USD 1.5 billion, Strong growth potential, Alignment with sectors such as services, healthcare, technology, and industrial technology</t>
  </si>
  <si>
    <t>IMG Academy, Indira IVF, HDFC Credila, VetPartners, Benesse, Tricor-Vistra, TRYT, Coforge, Hexaware Technologies, Virtusa, Nord Anglia Education</t>
  </si>
  <si>
    <t>OSK Ventures International Berhad</t>
  </si>
  <si>
    <t>Level 21, Plaza OSK, Jalan Ampang, 50450 Kuala Lumpur</t>
  </si>
  <si>
    <t>https://www.oskvi.com</t>
  </si>
  <si>
    <t>contact@oskvi.com</t>
  </si>
  <si>
    <t>(603) 2161 7233</t>
  </si>
  <si>
    <t>Established in 2000, OSK Ventures International Berhad (OSKVI) is a Malaysia-based private equity firm that specializes in providing venture capital and venture debt to companies ranging from commercialized start-ups to late-stage high-growth enterprises. The firm focuses on Southeast Asian markets, aiming to support the development of strong businesses in innovative and impactful industries. OSKVI's investment philosophy centers on seeking high-growth, revenue-generating companies with robust leadership, supported by scalable business models and a commitment to purposeful products and services.    OSKVI's investment approach capitalizes on the synergy between its equity and debt funds, distinguishing it from single-product fund managers. This synergy provides access to a broad spectrum of opportunities, including high-growth sectors in diverse geographies. The firm's key sectors include fintech, healthcare, enterprise technology, ESG, and emerging technologies. OSKVI emphasizes good corporate governance, dynamic growth, and value creation in both private and public entities with high growth and long-term potential within the region.    To date, OSKVI has successfully nurtured and divested over 40 investee companies, demonstrating its capacity to take the lead or collaborate in deals with a wide range of partners. The firm's commitment to responsible operations and high ethical standards in investments and business interactions is supported by a strong culture, reinforced by sustainability-related policies, frameworks, and processes. OSKVI's focus on strategic value creation and timely exit strategies benefits all its stakeholders, underscoring its role as a trusted investment partner in the Southeast Asian region.</t>
  </si>
  <si>
    <t>Private Equity, Venture Capital, ESG and Impact Investing</t>
  </si>
  <si>
    <t>High-growth, revenue-generating companies with robust leadership, Scalable business models, Commitment to purposeful products and services</t>
  </si>
  <si>
    <t>Doctor Anywhere, Java Offshore, Sunday, Allrites, CompAsia</t>
  </si>
  <si>
    <t>Bintang Capital Partners Berhad</t>
  </si>
  <si>
    <t>Level 38, Menara AIA Sentral, 30 Jalan Sultan Ismail, 50250 Kuala Lumpur</t>
  </si>
  <si>
    <t>https://www.bintangcapitalpartners.com/</t>
  </si>
  <si>
    <t>https://www.linkedin.com/company/bintangcapitalpartners</t>
  </si>
  <si>
    <t>contact.us@bintangcapitalpartners.com</t>
  </si>
  <si>
    <t>+603-2707 9106</t>
  </si>
  <si>
    <t>Bintang Capital Partners Berhad is a Malaysian impact investment firm headquartered in Kuala Lumpur. The firm focuses on investing in innovative companies that drive positive environmental and social impact, aligning with its mission to create a better world through responsible investing. Bintang Capital Partners is a certified B Corporation, reflecting its commitment to high standards of social and environmental performance, accountability, and transparency.    Established in 2018, Bintang Capital Partners has made significant strides in the impact investing space. The firm became the first Southeast Asian private equity firm to earn B Corp certification in May 2023, underscoring its dedication to responsible capitalism. Bintang's investment strategy emphasizes supporting companies that are committed to B Corp certification, decarbonization, and women's empowerment. The firm's inaugural fund, BCP Asia Fund I, is anchored by Penjana Kapital, an investment arm of the Ministry of Finance Malaysia.    Bintang Capital Partners has been recognized for its contributions to impact investing. In October 2024, the firm won the Private Markets category at the United Nations-supported Principles for Responsible Investment (PRI) Awards, marking the first time a Southeast Asian firm received this honor. Additionally, Bintang was awarded the Innovative Investment prize at the ASEAN Business Advisory Council 2023 awards and named Global SME of the Year at the Environmental Finance Sustainable Company 2023 awards. These accolades highlight Bintang's role in redefining the impact investment landscape in Southeast Asia.</t>
  </si>
  <si>
    <t>Early Stage, Growth, Late Stage, Buyout</t>
  </si>
  <si>
    <t>Companies must commit to obtaining B Corp Certification within a pre-set timeline., Investments typically range from $5 million to $15 million., Target enterprise value of investee companies is between $10 million and $100 million., Geographical focus is on ASEAN countries.</t>
  </si>
  <si>
    <t>Care Concierge, Blue Planet, Involve Asia, Flow Studio</t>
  </si>
  <si>
    <t>SNZ Ventures</t>
  </si>
  <si>
    <t>Ronkonkoma, New York</t>
  </si>
  <si>
    <t>https://snzholding.com/</t>
  </si>
  <si>
    <t>https://www.linkedin.com/company/snzholding/</t>
  </si>
  <si>
    <t>contact@snzholding.com</t>
  </si>
  <si>
    <t>(813) 264-7948</t>
  </si>
  <si>
    <t>SNZ Ventures is a crypto-native and community-oriented incubator and venture capital firm. Active since 2014, the SNZ team has been dedicated to community building, incubation, and investment, notably as one of the earliest backers of Ethereum in Asia. Their mission is to connect versatile builders, empower innovative blockchain and Web 3.0 projects, bridge the gaps, and accelerate mass adoption by leveraging SNZ's committed efforts and global network.    The firm focuses on investing in blockchain and cryptocurrency projects, with a particular emphasis on Web 3.0 technologies. They have a history of supporting early-stage ventures and have been involved in various funding rounds, including seed and venture stages. Their portfolio spans multiple countries in the Asia-Pacific region, reflecting a broad geographical focus.    SNZ Ventures has made over 100 investments, with notable exits including Animoca Brands and FuzzLand. Their approach combines a founder’s mindset with systems-driven execution, focusing on sustainable growth and long-term impact. The firm is headquartered in Ronkonkoma, New York, United States, and maintains a global presence through its investments and partnerships.</t>
  </si>
  <si>
    <t>Cryptocurrency, Blockchain, Information Technology</t>
  </si>
  <si>
    <t>Blockchain and cryptocurrency projects, Web 3.0 technologies, Early-stage ventures, Asia-Pacific region focus</t>
  </si>
  <si>
    <t>Animoca Brands, FuzzLand, IOTEX, rct AI, DeFiner Labs</t>
  </si>
  <si>
    <t>Al Dhow Capital</t>
  </si>
  <si>
    <t>Safat, Al Kuwayt, Kuwait</t>
  </si>
  <si>
    <t>https://dhowcapital.net</t>
  </si>
  <si>
    <t>dhowinfo@dhowcapital.net</t>
  </si>
  <si>
    <t>+965 2240 8884</t>
  </si>
  <si>
    <t>Al Dhow Capital is a Kuwait-based venture capital firm that focuses on supporting early-stage companies with strong business fundamentals. The firm aims to maximize value for all parties involved by providing the necessary resources to help companies reach their full potential. Their mission is to build a symbiotic bridge between investors and entrepreneurs, fostering growth and success.  The firm's investment strategy emphasizes innovative technology-based solutions, leveraging their considerable market sector expertise. They do not believe in geographical boundaries, recognizing that innovative entrepreneurs can emerge from anywhere. Al Dhow Capital prefers to invest in early seed stage businesses but is also open to participating in other funding rounds as well.  Al Dhow Capital's approach is characterized by a commitment to simplicity and speed, making investment decisions within four weeks or less. They aim to be proactive partners, offering more than just capital by providing strategic guidance and operational support to their portfolio companies. This approach is designed to drive success from the outset, ensuring that their investments are built on sound revenue models and have the potential for sustainable growth.  The firm has a seasoned management team with decades of industry experience and success. Their expertise spans various sectors, including technology, healthcare, financial services, consumer goods, energy, education, media, telecommunications, transportation, logistics, real estate, hospitality, agriculture, manufacturing, and retail. This diverse experience enables Al Dhow Capital to assess opportunities across a wide range of industries, identifying businesses with promising technologies and strong growth potential.  Al Dhow Capital's portfolio includes investments in companies such as Schiller Bikes, a manufacturer of innovative bicycles, and Yiswa App, a digital platform offering unique services. These investments reflect the firm's commitment to supporting businesses that are at the forefront of technological innovation and have the potential to make a significant impact in their respective industries.  In summary, Al Dhow Capital is dedicated to nurturing young companies and driving growth across various sectors. Their focus on early-stage investments, combined with a proactive and supportive approach, positions them as a valuable partner for entrepreneurs seeking to transform their ideas into successful businesses.</t>
  </si>
  <si>
    <t>Japan, India, United Arab Emirates, Indonesia, South Korea, Saudi Arabia, Qatar, Kuwait, Oman, Egypt, Lebanon, Bahrain, Turkey, Pakistan, Jordan, Bangladesh, Vietnam, Malaysia, Philippines, Thailand</t>
  </si>
  <si>
    <t>Maven Growth Partners</t>
  </si>
  <si>
    <t>https://www.mvngp.com/</t>
  </si>
  <si>
    <t>info@mvngp.com</t>
  </si>
  <si>
    <t>Maven Growth Partners is a venture capital firm investing in early-stage technology companies in Asia. The firm focuses on sectors such as media, content, and consumer technologies, aiming to support innovative startups that have the potential to transform their respective industries. By providing capital and strategic guidance, Maven Growth Partners seeks to empower entrepreneurs to scale their businesses and achieve sustainable growth.  The firm's investment strategy emphasizes identifying high-potential startups in the media and technology sectors, particularly those operating in the consumer space. Maven Growth Partners is committed to fostering innovation and supporting companies that are developing cutting-edge solutions to meet the evolving needs of consumers. The firm takes an active role in guiding its portfolio companies, offering not only financial support but also strategic insights to help them navigate the challenges of scaling in dynamic markets.  With a focus on early-stage investments, Maven Growth Partners aims to be a catalyst for growth in the Asian technology landscape. The firm is dedicated to building long-term partnerships with visionary founders and entrepreneurs, providing them with the resources and expertise needed to succeed in a competitive environment. Through its investments, Maven Growth Partners contributes to the development of a vibrant and innovative startup ecosystem across Asia.</t>
  </si>
  <si>
    <t>Technology, Consumer Goods, Media, Retail, HealthTech, EdTech, FinTech, E-commerce, Logistics, Agtech, Proptech, Supply Chain, Content, Enterprise Software, Consumer Technologies</t>
  </si>
  <si>
    <t>Innovative business models, Scalable growth potential, Strong founding teams, Clear market differentiation, Ability to execute effectively</t>
  </si>
  <si>
    <t>Tembusu Partners</t>
  </si>
  <si>
    <t>3 Phillip St Royal Group Building, #12-01, Singapore 048693</t>
  </si>
  <si>
    <t>https://tembusupartners.com/</t>
  </si>
  <si>
    <t>enquiry@tembusupartners.com</t>
  </si>
  <si>
    <t>+65 3152 5500</t>
  </si>
  <si>
    <t>Established in 2006, Tembusu Partners is a boutique private equity firm based in Singapore, dedicated to supporting high-growth ventures across Emerging Asia. The firm specializes in venture and growth-stage investments in fast-growing markets of Greater China, India, and Southeast Asia. With a deep understanding of markets, investment cycles, and complex cultural nuances, Tembusu Partners manages capital from investors and partners across Asia, Europe, and America, having completed more than S$300 million worth of private equity transactions.  Tembusu Partners invests in disruptive technologies with strong potential to drive innovation in key focus sectors such as financial and business services, consumer services, education, and healthcare. The firm's advisory board and investment committee comprise well-connected corporate leaders and industry veterans ranging from technology to business services, committed to supporting founders and companies in their global growth.  In 2021, Tembusu Partners launched the Sustainable Future Fund in collaboration with Eco-Business, aiming to deploy purpose-driven capital into solving urgent sustainable development challenges across Asia. The fund focuses on five high-opportunity areas: energy transition, circular economy, sustainable food, access to health and education, and financial inclusion. This initiative reflects Tembusu Partners' commitment to addressing pressing global issues through strategic investments.  Tembusu Partners' portfolio features companies that are innovators in their fields and leaders in championing transformative changes. With a focus on disruptive technology, sustainability, and tech ventures, the firm empowers companies to drive sustainable growth. The firm's approach includes not only financing early-stage and growth-stage businesses but also building long-term value through strategic involvement, leveraging its network to help portfolio companies develop and refine their business strategies, build stronger research, technology, and operational capabilities, strengthen corporate governance, and expand geographically.  For entrepreneurs and strong management teams aiming to become global leaders in their respective markets, Tembusu Partners offers a partnership that goes beyond capital, providing the know-how and connections needed to scale globally. The firm encourages companies seeking growth-stage funding to submit an executive summary or a full business plan to enquiry@tembusupartners.com for consideration.  Tembusu Partners' commitment to innovation, sustainability, and strategic growth makes it a significant player in the private equity landscape of Emerging Asia, dedicated to fostering companies that drive meaningful and lasting impact in their industries and communities.</t>
  </si>
  <si>
    <t>Seed, Early Stage, Growth, Pre-IPO</t>
  </si>
  <si>
    <t>Private Equity, Private Debt, Venture Capital</t>
  </si>
  <si>
    <t>Financial Services, Technology, Healthcare, Energy, Real Estate, Telecommunications, Media, Retail, Education, Agriculture, Logistics, Transportation, Hospitality, Manufacturing, Consumer Services</t>
  </si>
  <si>
    <t>Singapore, China, India, Indonesia, Pakistan, Bangladesh, Vietnam, Mongolia, Malaysia, Afghanistan, Philippines, Thailand, Maldives, Sri Lanka, Nepal, Bhutan, Myanmar, Cambodia, Laos, Brunei</t>
  </si>
  <si>
    <t>Innovative solutions, Market disruption potential, High growth potential, Sustainable business models, Strong management teams, Global scalability</t>
  </si>
  <si>
    <t>INTNT.AI, Toku, Securitize, Corsiva Lab, InTint, Somin, Awan Tunai, Gozem, RSG, Safe Space, Eco-Business, Mortgage Master, Jienem, Banxa, Visenze, Sixscape, Desk Era, Burpple, Longjing</t>
  </si>
  <si>
    <t>TransPacific Venture Capital Partners</t>
  </si>
  <si>
    <t>580 California Street, 12th Floor, San Francisco, California, 94104 USA</t>
  </si>
  <si>
    <t>https://www.transpacificvc.com/</t>
  </si>
  <si>
    <t>info@transpacificvc.com</t>
  </si>
  <si>
    <t>TransPacific Venture Capital Partners is a venture capital firm focused on investing in late-stage companies within the biopharmaceuticals, medical devices, and digital healthcare services sectors across the Pacific Rim. The firm seeks innovations that contribute to healthier, longer, and more productive lives.    The firm's investment strategy emphasizes identifying and supporting companies with promising technologies and products in major disease areas, including novel therapeutics for conditions like Alzheimer's disease. TransPacific VC partners with leading scientists to create companies that address unmet medical needs and drive advancements in healthcare.    With a team comprising healthcare executives and practitioners experienced in various roles within the biopharmaceutical and healthcare industries, TransPacific VC works closely with senior management in its portfolio companies to drive business and product development strategies. The firm's approach combines local country expertise with a regional perspective, aiming to bring breakthrough technologies to market and achieve successful outcomes for both portfolio companies and investors.</t>
  </si>
  <si>
    <t>Medical Devices, Biopharmaceuticals, Digital Healthcare Services</t>
  </si>
  <si>
    <t>United States, Hong Kong, Japan, Australia, Singapore, China, India, Indonesia, South Korea, Pakistan, Bangladesh, Vietnam, Malaysia, New Zealand, Philippines, Thailand, Taiwan, Sri Lanka, Nepal, Myanmar, Macau</t>
  </si>
  <si>
    <t>Companies in late stages of clinical development, Focus on biopharmaceuticals, medical devices, and digital healthcare services, Innovations that enhance human health and productivity, Late-stage companies in biopharmaceuticals, medical devices, and digital healthcare services sectors</t>
  </si>
  <si>
    <t>Breakout Capital</t>
  </si>
  <si>
    <t>1 Rockefeller Plaza, New York, NY</t>
  </si>
  <si>
    <t>https://breakout-capital.com/</t>
  </si>
  <si>
    <t>https://www.linkedin.com/company/breakout-capital-group</t>
  </si>
  <si>
    <t>cgalante@breakout-capital.com</t>
  </si>
  <si>
    <t>212 497 5100</t>
  </si>
  <si>
    <t>Breakout Capital is a private equity firm founded in 2022 by Ruchir Sharma, a veteran global investor with over 25 years of experience. The firm specializes in identifying and investing in emerging markets poised for significant growth, aiming to diversify portfolios beyond traditional markets. Breakout Capital employs a systematic approach to select countries and companies with high potential for outperformance over the next three to five years.    The firm's investment strategy involves a two-step process: first, identifying countries likely to experience economic breakthroughs, and second, selecting companies within those countries that can become consistent compounders. This methodology is designed to capture opportunities in markets that are often overlooked by traditional investors. Breakout Capital's team combines entrepreneurial energy with established enterprise, leveraging strategic partnerships to enhance its investment capabilities.    Breakout Capital's portfolio includes investments in various sectors such as technology, healthcare, consumer goods, and financial services. The firm focuses on growth-stage companies, providing capital to businesses that are scaling operations and expanding market reach. By targeting emerging markets, Breakout Capital aims to achieve superior returns while contributing to the economic development of these regions. The firm's approach reflects a commitment to long-term value creation and responsible investing practices.</t>
  </si>
  <si>
    <t>United States, China, India, Brazil, Mexico, Indonesia, South Korea, Egypt, Turkey, Pakistan, Bangladesh, South Africa, Russia, Vietnam, Malaysia, Philippines, Thailand, Nigeria, Chile, Argentina, Colombia</t>
  </si>
  <si>
    <t>Companies operating in emerging markets, Growth-stage businesses, Sectors including technology, healthcare, consumer goods, and financial services, Potential for significant market outperformance over the next three to five years</t>
  </si>
  <si>
    <t>Chimera VC</t>
  </si>
  <si>
    <t>Bengaluru, Karnataka, India</t>
  </si>
  <si>
    <t>https://chimeraventures.vc/</t>
  </si>
  <si>
    <t>info@chimeraventures.vc</t>
  </si>
  <si>
    <t>Chimera VC is a Bengaluru-based venture capital firm specializing in early-stage investments within the gaming sector across India and Asia. The firm is dedicated to identifying and nurturing innovative gaming startups, providing them with the necessary resources and expertise to scale their operations and achieve market leadership. By focusing on this dynamic industry, Chimera VC aims to foster the growth of gaming companies that offer unique and engaging experiences to a global audience.    The firm's investment strategy encompasses a wide range of stages, including Pre-Seed, Seed, Early Stage, Series A, Series B, Growth, Late Stage, and Pre-IPO. This approach allows Chimera VC to support startups at various points in their development, from initial concept to expansion and beyond. The geographical focus spans multiple countries in Asia, reflecting the firm's commitment to tapping into the diverse and rapidly evolving gaming markets across the continent.    Chimera VC's portfolio includes a variety of gaming companies that have demonstrated significant potential and innovation. By leveraging its deep industry knowledge and network, the firm seeks to empower these companies to reach new heights, contributing to the overall advancement of the gaming sector in the region. Through strategic investments and active involvement, Chimera VC plays a pivotal role in shaping the future of gaming in Asia.</t>
  </si>
  <si>
    <t>Technology, Media, Software, E-commerce, Artificial Intelligence, Blockchain, Gaming, Digital Media, Entertainment, Machine Learning, Esports, Mobile Applications, Virtual Reality, Augmented Reality, Interactive Media</t>
  </si>
  <si>
    <t>International Holding Company</t>
  </si>
  <si>
    <t>P.O. Box 32619, Abu Dhabi</t>
  </si>
  <si>
    <t>https://www.ihcuae.com/</t>
  </si>
  <si>
    <t>https://www.linkedin.com/company/ihc-uae/?originalSubdomain=ae</t>
  </si>
  <si>
    <t>contact@ihcuae.com</t>
  </si>
  <si>
    <t>(+971) 2 644 8090</t>
  </si>
  <si>
    <t>International Holding Company (IHC) is a prominent diversified conglomerate headquartered in Abu Dhabi, United Arab Emirates. Established in 1998, IHC has evolved into one of the largest investment companies globally, with a market capitalization of approximately AED 878.5 billion as of 2024. The company manages a vast portfolio encompassing over 1,400 subsidiaries and joint ventures, reflecting its expansive reach across various sectors.    IHC's investment strategy is characterized by a proactive approach, focusing on creating dynamic value networks that transcend traditional holding company models. The conglomerate's diverse portfolio spans multiple industries, including real estate, healthcare, energy, technology, and consumer goods. This diversification enables IHC to leverage synergies across its investments, driving innovation and sustainable growth. The company's strategic initiatives are guided by a commitment to sustainability, innovation, and economic diversification, aligning with the UAE's broader development objectives.    Under the leadership of Chairman Sheikh Tahnoon bin Zayed Al Nahyan and CEO Syed Basar Shueb, IHC has demonstrated a strong track record of growth and value creation. The company's financial performance underscores its operational excellence and strategic foresight. In the first quarter of 2025, IHC reported a revenue of AED 27.2 billion, marking a 41.1% increase compared to the same period in 2024. This robust performance reflects IHC's ability to adapt to market dynamics and capitalize on emerging opportunities, solidifying its position as a key player in the global investment landscape.    IHC's commitment to innovation and sustainability is evident in its recent initiatives, including the establishment of a copper trading hub in Abu Dhabi through its subsidiary, International Resources Holding (IRH). This move aims to position the UAE as a significant player in the global energy transition, highlighting IHC's forward-thinking approach to investment and its dedication to contributing to the UAE's economic diversification efforts.    Overall, International Holding Company exemplifies a modern, diversified investment firm that combines strategic vision with operational expertise to deliver sustained growth and value across its extensive portfolio.</t>
  </si>
  <si>
    <t>Private Equity, Venture Capital, Real Estate, Infrastructure, Hedge Funds, Commodities, Crypto, Fixed Income (Debt and Bonds), ESG and Impact Investing, Distressed and Special Situations, Collectibles &amp; Art</t>
  </si>
  <si>
    <t>Financial Services, Technology, Healthcare, Energy, Consumer Goods, Real Estate, Telecommunications, Utilities, Media, Finance, Retail, Education, Renewable Energy, Agriculture, Logistics, Transportation, Hospitality, Construction, Manufacturing, Entertainment, Mining, Transport and Logistics, Agriculture and Fisheries, Real Estate and Construction, Food and Beverages, IT and Communication, Retail and Leisure, Media and Entertainment, Trade</t>
  </si>
  <si>
    <t>United States, United Kingdom, Canada, Japan, Australia, Europe, Asia, Singapore, China, India, Brazil, France, United Arab Emirates, Latin America, Mexico, Indonesia, Ghana, South Korea, Saudi Arabia, Oman, Egypt, Morocco, Turkey, Pakistan, Jordan, Iraq, South Africa, Russia, Vietnam, Malaysia, Chad, Philippines, Thailand, Nigeria, Zambia, Colombia, Africa</t>
  </si>
  <si>
    <t>Open to investments in various stages from pre-seed to distressed, Focus on a wide range of industries including private equity, venture capital, real estate, infrastructure, hedge funds, commodities, crypto, fixed income, ESG and impact investing, distressed and special situations, and collectibles and art, Geographical focus includes the United Arab Emirates, India, Turkey, Zambia, South Africa, United States, Colombia, United Kingdom, Canada, Ghana, Iraq, Morocco, Oman, Saudi Arabia, China, South Korea, Japan, Australia, Brazil, Mexico, Russia, South Korea, Singapore, Malaysia, Indonesia, Thailand, Philippines, Vietnam, Egypt, and Jordan, Preferred industries: Healthcare, Energy, Real Estate, Agriculture, Technology, Financial Services, Geographical focus: United Arab Emirates, United States, India, Turkey, Zambia, Chad, Pakistan, Europe, Africa, Latin America, Asia, Australia, Canada, South Korea, Japan, Singapore, Malaysia, Indonesia, Thailand, Philippines, Vietnam, Investment stages: Seed, Early Stage, Series A, Series B, Growth, Late Stage, Pre-IPO, Buyout, Turnaround, Distressed, Asset classes: Private Equity, Venture Capital, Real Estate, Infrastructure, Fixed Income (Debt and Bonds), Commodities, Hedge Funds, Distressed and Special Situations, ESG and Impact Investing, Crypto, Focus on sectors including real estate, healthcare, energy, technology, and consumer goods, Preference for investments with potential for innovation and sustainable growth, Open to both minority and majority stakes in companies, Geographical focus on the United Arab Emirates and select international markets</t>
  </si>
  <si>
    <t>Adani Group, ADNOC Gas, Bayanat, Grupo Nutresa, Presight, Phoenix, SpaceX, Taqa, Oxford Nanopore Technologies, Alpha Dhabi Holding, Multiply Group, Ghitha Holding, Al Seer Marine, Modon Holding, Aldar Properties, First Women Bank Limited, Sammaan Capital, Kalyon Enerji, Reem Finance, Tendam, 2PointZero, Gridora, RIQ, Samhan Holding, Al Qudra Holding, Al Waha Capital, Al Ain Holding, Al Ghurair Investment, Al Habtoor Group, Burjeel Holdings, PureHealth, Alpha Dhabi, Getty Images, 2PointZero Group</t>
  </si>
  <si>
    <t>Fung Investments</t>
  </si>
  <si>
    <t>https://funggroup.com/en/about/what_we_do/</t>
  </si>
  <si>
    <t>inclusionanddiversity@fung1937.com</t>
  </si>
  <si>
    <t xml:space="preserve">Fung Investments is a private investment firm that focuses on sectors including media, telecom, healthcare, real estate, and financial services. The firm is part of the Fung Group, a Hong Kong-based multinational business entity operating across the global supply chain for consumer goods. Fung Investments seeks to invest in companies with the potential to transform or shape the future of these industries, aiming to create value through strategic partnerships and investments.  The firm's investment strategy encompasses various stages, from early-stage ventures to growth and late-stage investments, including pre-IPO and buyout opportunities. Fung Investments has a diverse geographical focus, with investments spanning China, Hong Kong, the United States, India, Europe, Southeast Asia, Australia, Japan, South Korea, Taiwan, Malaysia, Thailand, Indonesia, the Philippines, Vietnam, Pakistan, Bangladesh, Sri Lanka, Nepal, and Myanmar. This broad reach allows the firm to tap into emerging markets and established economies alike.  Fung Investments' portfolio includes companies in media, telecom, healthcare, real estate, and financial services. The firm is committed to fostering innovation and growth within these sectors, leveraging its extensive network and industry expertise to support the development of its investee companies. By focusing on transformative opportunities, Fung Investments aims to contribute to the evolution of industries and markets, aligning with the Fung Group's vision of advancing the global supply chain and consumer goods sectors.  </t>
  </si>
  <si>
    <t>Private Equity, Venture Capital, Real Estate, Infrastructure, Fixed Income (Debt and Bonds), Hedge Funds, Commodities, Crypto, Distressed and Special Situations, ESG and Impact Investing, Financial Services, Healthcare, Media, Telecom</t>
  </si>
  <si>
    <t>Financial Services, Technology, Healthcare, Energy, Consumer Goods, Real Estate, Infrastructure, Telecommunications, Media, Retail, Education, Agriculture, Consumer Products, E-commerce, Logistics, Transportation, Food Manufacturing, Manufacturing, Supply Chain, Telecom, Supply Chain Management, Commercial Aviation</t>
  </si>
  <si>
    <t>United States, United Kingdom, Canada, Germany, Hong Kong, Japan, Australia, Europe, Asia, Singapore, China, India, Brazil, France, United Arab Emirates, Mexico, Indonesia, South Korea, Saudi Arabia, Pakistan, Bangladesh, South Africa, Russia, Vietnam, Malaysia, Philippines, Southeast Asia, Thailand, Taiwan, Sri Lanka, Nepal, Myanmar</t>
  </si>
  <si>
    <t>High-growth potential, Alignment with investment strategy, Long-term value creation, Strong growth potential, Innovative business models, Experienced management teams, Alignment with Fung Group's strategic interests, Scalable operations, Ability to expand into new markets, Commitment to sustainability and corporate social responsibility, Competitive market positioning, Proven track record or clear path to profitability, Adaptability to changing market conditions</t>
  </si>
  <si>
    <t>ShopX, China Resources Enterprise, IDS Medical Systems, Fung Fashion, Heritage Foods, Branded Lifestyle Holdings Limited, Fung Kids (Holdings) Limited, Toys"R"Us (Asia) Limited</t>
  </si>
  <si>
    <t>Reinventure Group</t>
  </si>
  <si>
    <t>Level 2, 50 Bridge Street, Sydney, NSW 2000</t>
  </si>
  <si>
    <t>New South Wales</t>
  </si>
  <si>
    <t>https://reinventure.com.au/</t>
  </si>
  <si>
    <t>https://www.linkedin.com/company/reinventure-group</t>
  </si>
  <si>
    <t>info@reinventure.com.au</t>
  </si>
  <si>
    <t>+61 2 9232 2000</t>
  </si>
  <si>
    <t>Reinventure Group is an independent venture capital firm based in Sydney, Australia, with a strong corporate partnership with Westpac Banking Corporation. The firm specializes in investing in early-stage fintech companies, aiming to drive innovation in financial services across the Asia-Pacific region. With a commitment of $150 million, Reinventure focuses on uncovering, investing in, and nurturing scalable early businesses that will shape the future of the industry.    The firm's investment strategy emphasizes a founder-first approach, providing not only capital but also strategic support and resources to portfolio companies. Reinventure operates independently from Westpac, allowing it to fully focus on helping its ventures succeed. The firm seeks to unlock maximum synergy value between its portfolio companies and Westpac, leveraging the bank's resources and expertise to enable rapid scaling.    Reinventure's portfolio includes a diverse range of companies across various sectors, including financial services, technology, healthcare, real estate, and retail. The firm invests in companies at the seed and Series A stages, with investment sizes ranging from $1 million to $30 million. Reinventure's geographical focus spans Australia, New Zealand, and key markets in Asia, including Singapore, Hong Kong, Japan, India, China, South Korea, Indonesia, Malaysia, Thailand, the Philippines, Vietnam, Bangladesh, Pakistan, Sri Lanka, Nepal, Myanmar, Laos, and Cambodia.    Reinventure's mission is to uncover, invest in, and nurture scalable early businesses that will shape the future of the financial services industry. By leveraging its strategic relationship with Westpac Banking Corporation, the firm provides portfolio companies with unparalleled access to resources, networks, and market insights, aiming to drive innovation and create value in the financial services sector.</t>
  </si>
  <si>
    <t>Seed, Series A, Series B, Series C, Early Stage Venture, Late Stage Venture</t>
  </si>
  <si>
    <t>Financial Services, Technology, Healthcare, Energy, Consumer Goods, Real Estate, Telecommunications, Media, Retail, Software, Education, Agriculture, FinTech, Transportation, Hospitality, Manufacturing, Tourism, Security</t>
  </si>
  <si>
    <t>Hong Kong, Japan, Australia, Singapore, China, India, Indonesia, South Korea, Pakistan, Bangladesh, Vietnam, Malaysia, New Zealand, Philippines, Thailand, Sri Lanka, Nepal, Myanmar, Cambodia, Laos, Asia-Pacific</t>
  </si>
  <si>
    <t>Innovative business models, Scalable growth potential, Alignment with Reinventure Group's strategic focus areas, Strong founding teams, Alignment with Reinventure's strategic focus areas</t>
  </si>
  <si>
    <t>InDebted, Safewill, FrankieOne, Curious Thing, Kepler Analytics, Flybits, Hmlet, ZestMoney, Fortë, Doshii, Auror, Fillr</t>
  </si>
  <si>
    <t>Aavishkaar Group</t>
  </si>
  <si>
    <t>Techniplex II, Veer Savarkar Flyover, Goregaon West, Mumbai</t>
  </si>
  <si>
    <t>https://aavishkaargroup.com/</t>
  </si>
  <si>
    <t>https://www.linkedin.com/company/aavishkaar-group</t>
  </si>
  <si>
    <t>info@aavishkaargroup.com</t>
  </si>
  <si>
    <t>+91 022 6124 8900</t>
  </si>
  <si>
    <t>Aavishkaar Group is a prominent impact investment platform dedicated to fostering entrepreneurship and bridging opportunity gaps in emerging markets. The group operates through multiple entities, including Aavishkaar Capital, Arohan, Ashv, and Intellecap, each focusing on different aspects of impact investing and advisory services. Their mission is to support enterprises that address social and environmental challenges, thereby contributing to sustainable development in underserved regions.    The group's investment strategy encompasses a wide range of sectors, including agriculture, clean energy, financial services, healthcare, education, technology, infrastructure, manufacturing, retail, telecommunications, transportation, media, entertainment, real estate, and consumer goods. They provide funding at various stages, from seed to late-stage investments, with a focus on companies that demonstrate potential for significant social impact. Aavishkaar Group's geographical focus spans across India, Kenya, Bangladesh, Indonesia, the Philippines, Vietnam, Sri Lanka, Pakistan, Nepal, Myanmar, Cambodia, Laos, Thailand, Uganda, Tanzania, Zambia, Mozambique, Malawi, Ghana, and Nigeria.    Aavishkaar Group's track record includes supporting over 136 million underserved customers, with 52% being women, through their investments and engagements. They have disbursed a total capital of $4.2 billion and manage assets worth $1.3 billion. Their portfolio companies have collectively contributed to 14 out of the 17 United Nations Sustainable Development Goals (SDGs), reflecting the group's commitment to creating a positive social and environmental impact through their investments.</t>
  </si>
  <si>
    <t>Financial Services, Technology, Healthcare, Consumer Goods, Real Estate, Infrastructure, Telecommunications, Media, Retail, Education, Agriculture, Transportation, Manufacturing, Entertainment, Clean Energy</t>
  </si>
  <si>
    <t>India, Indonesia, Ghana, Kenya, Pakistan, Bangladesh, Vietnam, Philippines, Thailand, Nigeria, Zambia, Uganda, Tanzania, Sri Lanka, Nepal, Myanmar, Cambodia, Laos, Mozambique, Malawi</t>
  </si>
  <si>
    <t>A'amal Group</t>
  </si>
  <si>
    <t>King Abdullah Road Middle East Commercial Cent., P.O Box 4977, Al Khobar 31952</t>
  </si>
  <si>
    <t>https://www.aamal-group.com</t>
  </si>
  <si>
    <t>https://www.linkedin.com/company/aamal-group-aebg</t>
  </si>
  <si>
    <t>info@aamal-group.com</t>
  </si>
  <si>
    <t>+966 13 8973938</t>
  </si>
  <si>
    <t>A'amal Group is a prominent private investment firm headquartered in Al Khobar, Saudi Arabia. The firm has a diversified portfolio encompassing real estate, energy, hospitality, and construction sectors, with a strategic focus on the Middle East, Asia, and Africa. A'amal Group is committed to fostering growth and development across these regions through its investments and operations.    The company's investment strategy involves active participation in various stages of project development, including growth, late-stage, and buyout phases. A'amal Group's expertise spans multiple industries, such as real estate, energy, hospitality, construction, and digital investment. The firm is also involved in sectors like oil and gas, petrochemical, utilities, industrial plants, marine services, property management, hotel management, engineering, procurement, and construction management.    A'amal Group's track record reflects a strong commitment to excellence and a dedication to contributing positively to the communities in which it operates. The firm's diverse portfolio and strategic investments underscore its role as a key player in the regional and international markets, aiming to build a better tomorrow through sustainable and impactful ventures.</t>
  </si>
  <si>
    <t>Real Estate, Energy, Hospitality, Construction, Digital Investment</t>
  </si>
  <si>
    <t>Energy, Real Estate, Utilities, Hospitality, Property Management, Construction, Oil and Gas, Engineering, Hotel Management, Construction Management, Procurement, Petrochemical, Marine Services, Digital Investment, Industrial Plants</t>
  </si>
  <si>
    <t>Singapore, China, India, United Arab Emirates, Indonesia, Kenya, Saudi Arabia, Qatar, Kuwait, Oman, Egypt, Lebanon, Bahrain, Pakistan, Jordan, Iraq, South Africa, Malaysia, Yemen, Nigeria, Syria</t>
  </si>
  <si>
    <t>SOSV MOX</t>
  </si>
  <si>
    <t>1680 Mission Street, San Francisco</t>
  </si>
  <si>
    <t>https://moxsf.com/</t>
  </si>
  <si>
    <t>robin@moxsf.com</t>
  </si>
  <si>
    <t>415-941-0105</t>
  </si>
  <si>
    <t>SOSV MOX is a global accelerator program investing in mobile-first internet companies across emerging markets. The program focuses on helping startups expand into mobile-first regions, particularly in Asia, by providing resources, mentorship, and strategic partnerships. Through its comprehensive support, MOX aims to accelerate the growth of mobile-centric businesses in these rapidly developing markets.    The accelerator offers a structured program that includes seed funding, office space, and access to a network of industry experts and potential partners. Startups participating in MOX benefit from tailored guidance to navigate the unique challenges and opportunities present in mobile-first economies. The program's emphasis on localization and market adaptation is key to its success in fostering sustainable growth for its portfolio companies.    By leveraging its extensive network and expertise, SOSV MOX plays a pivotal role in bridging the gap between innovative mobile technologies and the vast user bases in emerging markets. Its strategic approach has led to the successful scaling of numerous startups, contributing to the dynamic evolution of the mobile internet landscape in these regions.</t>
  </si>
  <si>
    <t>Media, HealthTech, EdTech, FinTech, E-commerce, Logistics, Transportation, Gaming, Entertainment, Travel, Mobile Applications, Internet Services, Food Delivery, Social Networking, Online Education</t>
  </si>
  <si>
    <t>China, India, Indonesia, Pakistan, Bangladesh, Vietnam, Mongolia, Malaysia, Afghanistan, Philippines, Thailand, Taiwan, Maldives, Sri Lanka, Nepal, Bhutan, Myanmar, Cambodia, Laos, Brunei</t>
  </si>
  <si>
    <t>Mobile-first internet companies, Focus on emerging markets, Scalable business models, Strong founding teams, Innovative solutions addressing local needs</t>
  </si>
  <si>
    <t>Carousell, Klook, Lazada, Zalora, GoGoVan, RedDoorz, Kata.ai, Moka, Tiki, Bukalapak, Tokopedia, Traveloka, Gojek, Grab, Razer, Sea Group, Shopback, Carro, Jualo, Katalon</t>
  </si>
  <si>
    <t>Capton Energy</t>
  </si>
  <si>
    <t>https://www.capton.energy</t>
  </si>
  <si>
    <t>https://www.linkedin.com/company/capton-energy</t>
  </si>
  <si>
    <t>info@captonenergy.com</t>
  </si>
  <si>
    <t>+971 444 871 60</t>
  </si>
  <si>
    <t>Capton Energy is a joint venture between Siemens Financial Services and Desert Technologies, established to support the energy transition by investing in renewable energy infrastructure. The company focuses on developing and financing solar power projects, energy storage solutions, and electric vehicle infrastructure, primarily targeting markets in the Middle East, Africa, and Asia. Capton Energy aims to mobilize capital towards identified funding gaps in critical market segments, particularly in emerging markets, to provide clean, reliable, and affordable energy solutions.  The company's investment strategy involves targeting existing and greenfield solar power projects with capacities typically ranging from 20 to 100 megawatts. Capton Energy leverages the expertise and technology of its parent companies to facilitate the development of new solar facilities. The platform also offers third-party investors the opportunity to participate in the energy transition journey, contributing to the global shift towards sustainable energy sources.  Capton Energy's portfolio includes investments in various renewable energy projects across multiple countries. Notable investments include the Galloper Wind Farm in the United Kingdom, Plessey Holdings Ltd. in the UK, and several projects in Brazil, such as Brasol Participaçoes e Empreendimentos S.A. and GNA 1 Geração de Energia S.A. The company's diverse portfolio reflects its commitment to advancing the energy transition through strategic investments in renewable energy infrastructure worldwide.  Capton Energy's leadership team is headed by Umer Ahmad, who joined as Chief Executive and Chief Investment Officer in January 2022. With over 21 years of experience in the energy and infrastructure financing industry, Ahmad has previously held positions at organizations such as Barclays, Deloitte, SNC-Lavalin, and Equitix. Under his leadership, Capton Energy continues to expand its presence in the renewable energy sector, contributing to the global efforts in combating climate change and promoting sustainable development.  In February 2024, Capton Energy entered into a strategic partnership with Enerwhere, a company specializing in innovative renewable and hybrid energy solutions. This collaboration aims to electrify the private commercial and industrial solar power market in the Middle East and Africa, with an initial deployment of 25 MWp, including 9 MW in off-grid solar projects and a battery storage facility. The partnership underscores Capton Energy's commitment to fostering innovation and sustainability in the energy sector, providing reliable and sustainable energy solutions to the private corporate and industrial markets.  Capton Energy's diverse portfolio and strategic partnerships highlight its dedication to advancing the energy transition through investments in renewable energy infrastructure. The company's focus on solar power, energy storage, and electric vehicle infrastructure positions it as a key player in the global shift towards sustainable energy solutions, contributing to the development of clean and reliable energy sources in emerging markets and beyond.</t>
  </si>
  <si>
    <t>Infrastructure, Renewable Energy, Energy Storage, EV Infrastructure, Energy Efficiency</t>
  </si>
  <si>
    <t>Energy, Infrastructure, Finance, Renewable Energy, Electric Vehicles, Energy Efficiency, Energy Storage, Battery Storage, Solar Energy, Wind Energy, Sustainable Energy, Project Management, Smart Infrastructure, Off-Grid Energy, Commercial and Industrial Energy</t>
  </si>
  <si>
    <t>United States, United Kingdom, Japan, Australia, Singapore, China, India, Brazil, United Arab Emirates, Switzerland, Spain, Mexico, South Korea, Saudi Arabia, Pakistan, South Africa, Malaysia, Colombia, Cayman Islands, Dominican Republic</t>
  </si>
  <si>
    <t>Focus on renewable energy infrastructure projects, Target markets in Middle East, Africa, and Asia, Investments in solar power, energy storage, and EV infrastructure, Opportunities for third-party investors to participate in energy transition projects, Commitment to providing clean, reliable, and affordable energy solutions</t>
  </si>
  <si>
    <t>Galloper Wind Farm Holding Company Limited, Plessey Holdings Ltd., Brasol Participaçoes e Empreendimentos S.A., GNA 1 Geração de Energia S.A., Akuo Energy Dominicana, S.R.L., MPC Serviços Energéticos 1A S.A., MPC Serviços Energéticos 1B S.A., Tractian Limited, Cross London Trains Holdco 2 Limited, Five Estuaries Offshore Wind Farm Limited, Awel Y Môr Offshore Wind Farm Limited, Micropower Comerc Energia S.A., DELARO, S.A.P.I. DE C.V., Tenedora de Activos Medicos S.A.P.I. de C.V., Exemplar Health (NBH) Partnership, Rousch (Pakistan) Power Ltd., Certas AG, Nertus Mantenimiento Ferroviario y Servicios S.A., Impilo Consortium (Pty.) Ltd.</t>
  </si>
  <si>
    <t>WP2 Investments</t>
  </si>
  <si>
    <t>Bielany Wrocławskie, Poland</t>
  </si>
  <si>
    <t>PL</t>
  </si>
  <si>
    <t>https://wp2.investments</t>
  </si>
  <si>
    <t>https://www.linkedin.com/company/wp2-investments/</t>
  </si>
  <si>
    <t>info@wp2.investments</t>
  </si>
  <si>
    <t>WP2 Investments is a Polish venture capital firm and venture builder that actively invests in scalable businesses across sectors such as fintech, impact tech, and green energy. The firm is committed to supporting companies that have a tangible and positive impact on the world, particularly in education, healthcare, and renewable energy. Through its proprietary ScaleUP program, WP2 provides portfolio companies with mentoring, strategic guidance, and access to a strong ecosystem of experts and co-investors. This program is designed to help startups effectively develop and achieve their business goals.  The firm's investment strategy focuses on early-stage projects, including pre-seed, seed, and Series A stages, targeting companies that are creating and developing new technologies with unique ideas and fast-growing, scalable business models. WP2 Investments emphasizes the importance of the experience and successes of company founders, aiming to build a portfolio grounded in synergy and strong relationships. The firm has a global reach, with portfolio companies operating in various countries across Europe, North America, South America, Africa, and Asia.  WP2 Investments has a diverse portfolio that includes companies such as NUADU, a digital assessment and learning platform; Verestro, a global payment infrastructure for fintechs; Wellbee, a mental health marketplace; Fenige, a licensed payment institution; Sportigio, software for the sports industry; and SoftwareSupp, a freelance tech expert platform. These investments reflect WP2's commitment to fostering innovation and sustainability in various sectors, aligning with its mission to support visionary founders and contribute to positive global change.</t>
  </si>
  <si>
    <t>HealthTech, EdTech, FinTech, E-commerce, Medtech, Biotechnology, Cleantech, B2B SaaS, EduTech, AI, Digitalization, Green Energy, SportTech, Impact Tech</t>
  </si>
  <si>
    <t>United Kingdom, Canada, Germany, Japan, Australia, Singapore, China, India, Brazil, France, Italy, Denmark, United Arab Emirates, Spain, Mexico, Indonesia, Kenya, Ireland, Austria, Pakistan, Somalia, Netherlands, South Africa, Hungary, Vietnam, Malaysia, Philippines, Slovenia, Croatia, Belgium, Greece, Thailand, Norway, Finland, Poland, Argentina, Colombia, Peru, Czech Republic, Slovakia, Serbia, Romania, Bulgaria, Tanzania, Iceland, Estonia, Latvia, Lithuania, Venezuela, Costa Rica, Ukraine, Ecuador, Bahamas, USA, Caribbean</t>
  </si>
  <si>
    <t>Innovative business models, Positive social or environmental impact, Scalable growth potential, Experienced founding teams</t>
  </si>
  <si>
    <t>NUADU, Verestro, Wellbee, Fenige, Sportigio, SoftwareSupp</t>
  </si>
  <si>
    <t>Dimensional Fund Advisors LP</t>
  </si>
  <si>
    <t>6300 Bee Cave Rd, Bldg 1, Palisades W, Austin</t>
  </si>
  <si>
    <t>https://www.dimensional.com</t>
  </si>
  <si>
    <t>https://www.linkedin.com/company/dimensional-fund-advisors</t>
  </si>
  <si>
    <t>info@dimensional.com</t>
  </si>
  <si>
    <t>+1 (512) 306-7400</t>
  </si>
  <si>
    <t>Dimensional Fund Advisors LP is a global investment management firm that specializes in systematic investment strategies. The firm offers a range of mutual funds, including the Emerging Markets Core Equity 2 Portfolio Institutional Class (DFCEX), which seeks long-term capital appreciation by investing in a broad and diverse group of securities associated with emerging markets. The portfolio may include frontier markets and utilizes equity securities in the form of depositary receipts, which may be listed or traded outside the issuer’s domicile country.    The investment strategy focuses on purchasing a broad and diverse group of securities associated with emerging markets, including frontier markets. The portfolio may gain exposure to companies in approved markets by purchasing equity securities in the form of depositary receipts, which may be listed or traded outside the issuer’s domicile country. The portfolio is managed by a team of experienced professionals, including Jed S. Fogdall, Global Head of Portfolio Management, and Allen Pu, Deputy Head of Portfolio Management, North America.    Dimensional Fund Advisors LP has a track record of managing funds with a focus on emerging markets, employing a disciplined and index-unconstrained approach honed over a decade of investing in frontier markets. The firm's investment philosophy emphasizes long-term capital appreciation through systematic investment strategies, aiming to provide investors with exposure to a diversified portfolio of emerging market equities.</t>
  </si>
  <si>
    <t>Equity</t>
  </si>
  <si>
    <t>Financial Services, Technology, Healthcare, Energy, Industrials, Real Estate, Materials, Telecommunications, Utilities, Media, Transportation, Consumer Services, Consumer Staples, Basic Materials, Consumer Discretionary</t>
  </si>
  <si>
    <t>United States, United Kingdom, Hong Kong, Japan, Singapore, China, India, Brazil, Italy, United Arab Emirates, Mexico, Indonesia, Kenya, South Korea, Saudi Arabia, Qatar, Kuwait, Egypt, Morocco, Turkey, Pakistan, Jordan, Netherlands, South Africa, Russia, Hungary, Vietnam, Malaysia, Philippines, Israel, Greece, Thailand, Nigeria, Zambia, Poland, Chile, Argentina, Colombia, Peru, Czech Republic, Romania, Taiwan, Sri Lanka, Uruguay, Venezuela, Zimbabwe, Korea, South</t>
  </si>
  <si>
    <t>Sawiris Family Office</t>
  </si>
  <si>
    <t>Nile City Towers, 2005A Corniche El Nil, Nile City South Tower, Cairo</t>
  </si>
  <si>
    <t>https://www.nns-group.com</t>
  </si>
  <si>
    <t>info@nns-group.com</t>
  </si>
  <si>
    <t>The Sawiris Family Office is a prominent Egyptian family office investing across various sectors globally.    Established by the Sawiris family, the office focuses on maximizing long-term value creation by backing entrepreneurs at every stage of growth. It operates from offices in Cyprus, London, Luxembourg, and New York.    The family office's portfolio includes investments in technology, telecommunications, construction, tourism, real estate, media, financial services, healthcare, education, energy, retail, transportation, sports, agriculture, and manufacturing. Notable investments include stakes in Orascom Construction PLC, Orascom Telecom Holding, and Orascom Hotels and Development. The family office is also involved in sports ownership, including a stake in Aston Villa Football Club.    The Sawiris Family Office is known for its diversified investment approach, focusing on sectors with high growth potential and strategic importance. It leverages the family's extensive business experience and global network to identify and support promising ventures. The office's investment philosophy emphasizes long-term value creation, operational excellence, and a commitment to sustainable development.</t>
  </si>
  <si>
    <t>Private Equity, Venture Capital, Real Estate, Infrastructure, Commodities, Hedge Funds, Fixed Income (Debt and Bonds), Distressed and Special Situations, Crypto, ESG and Impact Investing</t>
  </si>
  <si>
    <t>Financial Services, Technology, Healthcare, Energy, Real Estate, Telecommunications, Media, Retail, Education, Agriculture, Transportation, Construction, Manufacturing, Tourism, Sports</t>
  </si>
  <si>
    <t>United States, United Kingdom, Canada, Germany, France, Italy, United Arab Emirates, Switzerland, Spain, Luxembourg, Egypt, Tunisia, Algeria, Pakistan, Bangladesh, Netherlands, Montenegro, Belgium, Cyprus, North Korea</t>
  </si>
  <si>
    <t>responsAbility Investments AG</t>
  </si>
  <si>
    <t>Zollstrasse 17, 8005 Zurich</t>
  </si>
  <si>
    <t>https://www.responsability.com/</t>
  </si>
  <si>
    <t>https://www.linkedin.com/company/responsability-investments</t>
  </si>
  <si>
    <t>info@responsability.com</t>
  </si>
  <si>
    <t>+41 44 403 05 00</t>
  </si>
  <si>
    <t xml:space="preserve">Founded in 2003 and headquartered in Zurich, responsAbility Investments AG is a prominent impact asset manager focusing on private market investments in emerging economies. The company aims to achieve financial returns while generating positive societal and environmental impacts, aligning with the United Nations Sustainable Development Goals (SDGs).    The firm's investment strategy centers on three key themes: Financial Inclusion, Climate Finance, and Sustainable Food. These areas target the growth of micro and small enterprises, support the transition to a net-zero economy, and promote sustainable agricultural practices to feed a growing global population. responsAbility offers both tailor-made and fund investment solutions to institutional investors, ensuring measurable impact alongside market returns.    Since its inception, responsAbility has deployed over USD 16.5 billion in impact investments, managing approximately USD 5.5 billion in assets across around 300 portfolio companies in approximately 70 countries as of March 31, 2025. In 2022, the company became part of M&amp;G plc, enhancing its capabilities in impact investing.    </t>
  </si>
  <si>
    <t>Growth, Late Stage, Pre-IPO, Buyout, Early Stage, Turnaround, Distressed</t>
  </si>
  <si>
    <t>Private Equity, Fixed Income (Debt and Bonds), Infrastructure, Real Estate, Venture Capital, Private Debt</t>
  </si>
  <si>
    <t>Financial Services, Technology, Healthcare, Energy, Consumer Goods, Real Estate, Infrastructure, Telecommunications, Media, Retail, Education, Renewable Energy, Agriculture, Transportation, Hospitality, Manufacturing, Tourism, Waste Management, Clean Technology, Food Processing, Affordable Housing, Water and Sanitation</t>
  </si>
  <si>
    <t>China, India, Brazil, Mexico, Indonesia, Ghana, Kenya, Egypt, Tunisia, Morocco, Pakistan, Bangladesh, South Africa, Vietnam, Ethiopia, Philippines, Thailand, Nigeria, Zambia, Argentina, Colombia, Peru, Uganda, Tanzania, Sri Lanka, Ecuador, Zimbabwe</t>
  </si>
  <si>
    <t>Institutional investors, Professional investors, Alignment with UN Sustainable Development Goals, Measurable social and environmental impact, Financial returns alongside impact, Focus on emerging markets, Alignment with UN SDGs, Interest in impact investing</t>
  </si>
  <si>
    <t>ProCredit Holding, Hattha Kaksekar Limited, Credo, Serengeti Energy, Sohan Lal Commodity Management, Phlomis Finance, SIFEM - Swiss Investment Fund for Emerging Markets, M&amp;G plc, Evocabank, M-KOPA, Jumia, BBOXX, M-KOPA Solar, Jumo, M-KOPA Energy, M-KOPA Finance, M-KOPA Solar Home Systems, M-KOPA Energy Solutions, M-KOPA Finance Limited, M-KOPA Solar Limited, M-KOPA Energy Limited, AgroVision, d.light, Juhudi Kilimo, M-KOPA Solar Lighting, M-KOPA Energy Access, M-KOPA Solar Power, M-KOPA Energy Products, M-KOPA Solar Solutions, M-KOPA Energy Systems, M-KOPA Solar Energy, M-KOPA Energy Devices, M-KOPA Solar Devices</t>
  </si>
  <si>
    <t>Grameen Crédit Agricole Foundation</t>
  </si>
  <si>
    <t>5, Allée Scheffer, L-2520 Luxembourg</t>
  </si>
  <si>
    <t>LU</t>
  </si>
  <si>
    <t>https://www.gca-foundation.org/en/</t>
  </si>
  <si>
    <t>info@gca-foundation.org</t>
  </si>
  <si>
    <t>Established in 2008 through a partnership between Crédit Agricole and Nobel Peace Prize laureate Professor Muhammad Yunus, the Grameen Crédit Agricole Foundation is dedicated to combating poverty and inequality by fostering financial inclusion and supporting social impact entrepreneurship. The Foundation provides investments, loans, and technical assistance to microfinance institutions and social enterprises across approximately 40 countries, with a portfolio exceeding €90 million. It primarily focuses on institutions serving women and rural populations, reaching over 7 million beneficiaries, 93% of whom are women and 84% reside in rural areas.    The Foundation's approach encompasses four main activities: funding, investment, technical assistance, and investment fund advisory. It operates as an investor, lender, technical assistance coordinator, and fund advisor, financing and supporting microfinance institutions, enterprises, and projects that promote inclusive finance and rural development globally. The Foundation's mission aligns with the United Nations Sustainable Development Goals, particularly in promoting gender equality and reducing inequalities.    Through its initiatives, the Grameen Crédit Agricole Foundation has become a significant player in microfinance, granting over €280 million in loans to more than 120 microfinance institutions and social enterprises in around 40 countries. Its commitment to social impact is evident in its support for sectors such as agriculture, healthcare, education, and energy, aiming to improve the livelihoods of underserved communities and contribute to sustainable development.</t>
  </si>
  <si>
    <t>Financial Services, Technology, Healthcare, Energy, Telecommunications, Media, Retail, Education, Agriculture, Construction, Manufacturing, Tourism, Transport, Housing, Water and Sanitation</t>
  </si>
  <si>
    <t>India, Indonesia, Ghana, Kenya, Egypt, Tunisia, Morocco, Lebanon, Pakistan, Jordan, Bangladesh, South Africa, Niger, Mali, Ethiopia, Philippines, Nigeria, Zambia, Romania, Uganda, Tanzania, Cambodia, Senegal, Mozambique, Benin, Zimbabwe, Sierra Leone, Ivory Coast, Burkina Faso, Guinea, Madagascar</t>
  </si>
  <si>
    <t>Abler Nordic</t>
  </si>
  <si>
    <t>Roald Amundsens gate 6, 0161 Oslo</t>
  </si>
  <si>
    <t>https://www.ablernordic.com</t>
  </si>
  <si>
    <t>info@ablernordic.com</t>
  </si>
  <si>
    <t>Abler Nordic is a private equity firm dedicated to enhancing financial inclusion for low-income households in developing countries.     Established in 2008 as the Nordic Microfinance Initiative, the firm rebranded to Abler Nordic in 2023. It focuses on investing in companies that provide essential financial services such as savings, agricultural financing, and insurance, aiming to empower individuals and communities economically.     Abler Nordic's investment strategy targets early-stage to late-stage companies across various sectors, including financial services, agriculture, healthcare, education, renewable energy, infrastructure, technology, retail, manufacturing, transportation, telecommunications, media, real estate, and tourism. The firm operates in multiple countries, including Kenya, Uganda, Tanzania, Ethiopia, India, Indonesia, Vietnam, the Philippines, Bangladesh, Pakistan, Nepal, Sri Lanka, Myanmar, Cambodia, Laos, Afghanistan, Malawi, Mozambique, Zambia, Zimbabwe, and Malawi.     The firm's portfolio includes investments in companies such as Juhudi Kilimo, Kenya Women Microfinance Bank, Baobab Group, Baobab Senegal, and Tugende. Abler Nordic's approach combines experience in microfinance and international development with the capital strength and financial expertise of institutional investors, aiming to create sustainable economic growth and improve livelihoods in the regions it serves.     Abler Nordic is registered with the Financial Supervisory Authority of Norway as an Alternative Investment Fund Manager (AIFM).</t>
  </si>
  <si>
    <t>Financial Services, Technology, Healthcare, Real Estate, Infrastructure, Telecommunications, Media, Retail, Education, Renewable Energy, Agriculture, Transportation, Manufacturing, Microfinance, Tourism, Clean Technology, Affordable Housing, Water and Sanitation</t>
  </si>
  <si>
    <t>India, Indonesia, Kenya, Pakistan, Bangladesh, Vietnam, Afghanistan, Ethiopia, Philippines, Thailand, Zambia, Uganda, Tanzania, Sri Lanka, Nepal, Myanmar, Cambodia, Laos, Senegal, Mozambique, Zimbabwe, Malawi</t>
  </si>
  <si>
    <t>Investments must support financial inclusion for low-income households, Preference for businesses offering a range of financial services including savings, agricultural financing, insurance, and microcredit, Focus on Sub-Saharan Africa and Asia regions, Interest in diverse industries contributing to economic development and poverty reduction, Focus on financial inclusion, Target low-income households, Operate in developing countries, Provide essential financial services</t>
  </si>
  <si>
    <t>Juhudi Kilimo, Kenya Women Microfinance Bank, Baobab Group, Baobab Senegal, Tugende</t>
  </si>
  <si>
    <t>PathDAO</t>
  </si>
  <si>
    <t>http://pathdao.io</t>
  </si>
  <si>
    <t>https://www.linkedin.com/company/virtualsprotocol/</t>
  </si>
  <si>
    <t>contact@pathdao.io</t>
  </si>
  <si>
    <t>PathDAO is a decentralized autonomous organization (DAO) focused on investing in blockchain gaming and NFTs. The organization aims to create value for investors and players in the growing blockchain gaming and metaverse sectors. Unlike traditional guilds, PathDAO emphasizes providing opportunities for players in developing countries to earn cryptocurrencies through play-to-earn models. This approach enables players to participate in decentralized finance (DeFi) services, thereby promoting financial inclusion and empowerment.    The DAO has been actively involved in onboarding scholars into various blockchain-based games, including Axie Infinity, Vulcan Forged, and League of Kingdoms. By supporting these games, PathDAO contributes to the expansion and adoption of blockchain gaming, fostering a more inclusive and accessible gaming ecosystem.    Through its investments and community engagement, PathDAO continues to play a significant role in the evolution of blockchain gaming and NFTs, striving to bridge the gap between traditional gaming and the emerging decentralized digital economy.</t>
  </si>
  <si>
    <t>Technology, Healthcare, Real Estate, Media, Finance, Retail, Education, Agriculture, E-commerce, Cryptocurrency, Logistics, Transportation, Blockchain, Gaming, Entertainment</t>
  </si>
  <si>
    <t>Japan, Singapore, China, India, Indonesia, South Korea, Pakistan, Bangladesh, Vietnam, Mongolia, Malaysia, Afghanistan, Philippines, Thailand, Sri Lanka, Nepal, Myanmar, Cambodia, Laos, Brunei</t>
  </si>
  <si>
    <t>Projects must be based in Southeast Asia, Focus on blockchain gaming and NFTs, Emphasis on financial inclusion and empowerment, Active community engagement, Scalable and sustainable business models, Strong development teams with proven track records, Clear tokenomics and governance structures, Compliance with local regulations, Commitment to transparency and accountability, Innovative use of blockchain technology in gaming and NFTs</t>
  </si>
  <si>
    <t>Axie Infinity, Vulcan Forged, League of Kingdoms</t>
  </si>
  <si>
    <t>Jacobs Foundation</t>
  </si>
  <si>
    <t>Seefeldquai 17, P.O. Box, 8034 Zurich</t>
  </si>
  <si>
    <t>https://jacobsfoundation.org/</t>
  </si>
  <si>
    <t>https://www.linkedin.com/company/jacobs-foundation</t>
  </si>
  <si>
    <t>fellowship@jacobsfoundation.org</t>
  </si>
  <si>
    <t>+41 44 388 61 23</t>
  </si>
  <si>
    <t>The Jacobs Foundation is a Swiss-based charitable foundation dedicated to improving the quality of education and learning for children and young people globally. Established in 1988 by Klaus J. Jacobs, the foundation focuses on supporting research, promoting evidence-based teaching practices, and assisting countries in developing and implementing education policies grounded in research. Its mission is to ensure that every child has access to quality education, believing that this can only be achieved when education policy and practice are informed by evidence of what works best for children.  The foundation's strategy involves active engagement beyond mere funding, collaborating with leading researchers, educators, EdTech companies, investors, and policymakers to drive initiatives that would not otherwise be possible. It works globally with researchers to understand how children learn and locally with policymakers and practitioners to catalyze new research, financing mechanisms, and policy collaborations. This approach aims to create systemic change in education systems worldwide.  Through its learning and evaluation approach, the Jacobs Foundation seeks to make better decisions and work more effectively, enabling more children to experience quality education. It shares its learning openly to achieve long-lasting impact for education systems around the world. The foundation's commitment to evidence-based education is exemplified by its annual reports and research agendas, which provide insights into its ongoing efforts and the impact of its initiatives.</t>
  </si>
  <si>
    <t>Technology, Healthcare, Education, Research, Sustainability, Nonprofit, Public Policy, Community Development, Philanthropy, Innovation, Social Impact, Youth Development, International Development, Policy, Cultural Exchange</t>
  </si>
  <si>
    <t>United States, United Kingdom, Germany, Japan, China, India, Brazil, France, Italy, Switzerland, Spain, Mexico, Indonesia, South Korea, Turkey, Pakistan, Bangladesh, South Africa, Russia, Nigeria</t>
  </si>
  <si>
    <t>Evidence-based education initiatives, Global and local partnerships, Systemic change in education systems, Sustainable impact in education</t>
  </si>
  <si>
    <t>Macquarie Emerging Markets Fund</t>
  </si>
  <si>
    <t>1 Elizabeth Street, Sydney</t>
  </si>
  <si>
    <t>https://www.macquarie.com/au/en/about/company/macquarie-asset-management/individual-investor/investments/managed-funds-and-active-etfs/equities/walter-scott-emerging-markets-fund.html</t>
  </si>
  <si>
    <t>mam.clientservice@macquarie.com</t>
  </si>
  <si>
    <t>1800 814 523</t>
  </si>
  <si>
    <t>The Macquarie Emerging Markets Fund is a mutual fund that primarily invests in a diversified portfolio of equity securities from emerging market countries. The fund aims to achieve long-term capital appreciation by focusing on companies with strong growth potential and attractive valuations. It employs a bottom-up investment approach, selecting stocks based on fundamental analysis and long-term structural growth opportunities. The fund is managed by Macquarie Asset Management, a division of Macquarie Group Limited, an Australian multinational investment banking and financial services company. The fund's portfolio is diversified across various industries, including technology, healthcare, consumer goods, financial services, and energy, among others. It targets companies in emerging markets such as Argentina, Brazil, China, India, Indonesia, Malaysia, Mexico, Nigeria, Pakistan, Philippines, Russia, South Africa, South Korea, Taiwan, Thailand, Turkey, United Arab Emirates, Vietnam, Egypt, and Chile. The fund is designed for investors seeking exposure to high-quality emerging market companies with strong growth characteristics. It offers a long-term investment approach backed by an experienced team of researchers and focuses on defensive investing with the potential for strong returns over a full market cycle. The fund's investment approach is grounded in bottom-up, fundamental analysis of individual companies, placed in the context of evolving secular trends in the global economy. The team believes that analyzing structural changes to identify companies well-positioned across the value chain can generate superior returns for investors. The fund has a minimum investment size of $1,000,000 and a maximum investment size of $50,000,000. It is managed by Macquarie Asset Management, a division of Macquarie Group Limited, an Australian multinational investment banking and financial services company. The fund's portfolio is diversified across various industries, including technology, healthcare, consumer goods, financial services, and energy, among others. It targets companies in emerging markets such as Argentina, Brazil, China, India, Indonesia, Malaysia, Mexico, Nigeria, Pakistan, Philippines, Russia, South Africa, South Korea, Taiwan, Thailand, Turkey, United Arab Emirates, Vietnam, Egypt, and Chile. The fund is designed for investors seeking exposure to high-quality emerging market companies with strong growth characteristics. It offers a long-term investment approach backed by an experienced team of researchers and focuses on defensive investing with the potential for strong returns over a full market cycle. The fund's investment approach is grounded in bottom-up, fundamental analysis of individual companies, placed in the context of evolving secular trends in the global economy. The team believes that analyzing structural changes to identify companies well-positioned across the value chain can generate superior returns for investors.</t>
  </si>
  <si>
    <t>Financial Services, Technology, Healthcare, Energy, Consumer Goods, Industrials, Real Estate, Materials, Telecommunications, Utilities, Media, Transportation, Consumer Services, Basic Materials, Consumer Non-Durables</t>
  </si>
  <si>
    <t>China, India, Brazil, United Arab Emirates, Mexico, Indonesia, South Korea, Egypt, Turkey, Pakistan, South Africa, Russia, Vietnam, Malaysia, Philippines, Thailand, Nigeria, Chile, Argentina, Taiwan</t>
  </si>
  <si>
    <t>Tawoos Group</t>
  </si>
  <si>
    <t>P.O. Box 121, Barka</t>
  </si>
  <si>
    <t>Al Batinah North Governorate</t>
  </si>
  <si>
    <t>https://www.tawoos.com/</t>
  </si>
  <si>
    <t>info@tawoos.com</t>
  </si>
  <si>
    <t>+968 24796636</t>
  </si>
  <si>
    <t>Established in 1982 by His Highness Sayyid Shabib bin Taimur Al Said, Tawoos Group began as a family office focusing on trading interests in defense and hydrocarbon industries. Over the years, it has diversified into a conglomerate with investments spanning agriculture, construction, energy, defense, hospitality, telecommunications, healthcare, education, training, media services, leisure and entertainment, industrial catering, operations &amp; maintenance, computer hardware, software, and communications. The group has adopted globally recognized best practices in business management to provide cost-effective, quality services in accordance with international standards. In 1996, Tawoos became the first family-owned company in Oman to seek a public listing on the Muscat Securities Market via an IPO for some of its companies, which were grouped under a holding company called Renaissance Holdings SAOG, now known as Renaissance Services SAOG.    Tawoos Group's investment strategy focuses on sectors that contribute to the diversification of the Omani economy, including agriculture, power and telecom, energy, defense, hospitality, and training. The group has also diversified its investments into premium real estate development, global capital markets, private equity, and venture capital. Tawoos Agricultural Systems LLC, a subsidiary of the group, operates over 1,000 hectares of farmland in Oman, producing in excess of 40,000 tons of fresh vegetables and fruits annually. The group's commitment to quality and sustainability is evident in its adherence to international standards and certifications.    The group's leadership includes Chairman Samir J. Fancy, Vice Chairman HH Sayyid Tarik bin Shabib Al Said, Board Members HH Sayyida Tania bint Shabib Al Said and HH Sayyid Taimur bin Shabib Al Said, Chief Investment Officer Sameer Ul Haque, and Finance Director Nilanjan Gupta. Tawoos Group continues to evolve and diversify its portfolio, capitalizing on new opportunities and growth areas to maximize value for all its stakeholders, including investors, employees, customers, the community, and the nation.</t>
  </si>
  <si>
    <t>Private Equity, Venture Capital, Real Estate, Infrastructure, Commodities, Fixed Income (Debt and Bonds), Hedge Funds</t>
  </si>
  <si>
    <t>Healthcare, Energy, Telecommunications, Education, Agriculture, Hospitality, Construction, Leisure and Entertainment, Computer Hardware, Defense, Training, Media Services, Industrial Catering, Operations &amp; Maintenance, Software &amp; Communications</t>
  </si>
  <si>
    <t>United States, United Kingdom, Japan, China, India, United Arab Emirates, Indonesia, South Korea, Saudi Arabia, Qatar, Kuwait, Oman, Egypt, Lebanon, Bahrain, Turkey, Pakistan, Jordan, Bangladesh, Malaysia</t>
  </si>
  <si>
    <t>Alignment with Tawoos Group's strategic sectors, Adherence to international quality standards, Commitment to sustainability and social responsibility</t>
  </si>
  <si>
    <t>Renaissance Services SAOG, Tawoos Agricultural Systems LLC, Tawoos Power &amp; Telecommunications</t>
  </si>
  <si>
    <t>Symphony International Holdings Limited</t>
  </si>
  <si>
    <t>200 Newton Road, #07-01 Newton 200, Singapore 307983</t>
  </si>
  <si>
    <t>https://www.symphonyasia.com/</t>
  </si>
  <si>
    <t>Symphony International Holdings Limited is a strategic investment company focusing on high-growth, consumer-related businesses in the Asia-Pacific region. The company invests in sectors such as healthcare, hospitality, lifestyle, branded real estate, and new economy ventures, aiming to benefit from the rising disposable incomes of Asia's growing middle class. Symphony's investment team is led by Anil Thadani, who has over 40 years of experience in investing in Asia.    The company's investment strategy includes growth capital for later-stage development and expansion, management buy-outs/buy-ins, restructurings, and special situations. Symphony also invests in real estate development projects designed to appeal to the evolving lifestyles of Asia's increasingly wealthy demographic. The company's shares are traded on the Main Market of the London Stock Exchange under the ticker symbol SIHL.    As of December 31, 2024, Symphony's total cost of its unrealised investment portfolio was US$43.56 million, with a fair value of US$468.18 million. The company is actively exploring full and partial exits for multiple investments, with plans to make further announcements throughout the year. Symphony's commitment to its shareholders is reflected in its transparent communication and strategic focus on maximising value through the orderly realisation of its portfolio.</t>
  </si>
  <si>
    <t>Early Stage, Late Stage, Growth, Buyout, Turnaround, Distressed</t>
  </si>
  <si>
    <t>Healthcare, Retail, Education, E-commerce, Logistics, Transportation, Artificial Intelligence, Hospitality, Information Technology, Fashion, Internet of Things, Travel, Lifestyle, Branded Real Estate, New Economy Ventures, Jewelry</t>
  </si>
  <si>
    <t>Grand Decade Developments Limited</t>
  </si>
  <si>
    <t>Unit 3302, 33/F The Center, 99 Queen’s Rd, Central, Hong Kong</t>
  </si>
  <si>
    <t>http://www.grandehome.com.hk</t>
  </si>
  <si>
    <t>info@grandehome.com.hk</t>
  </si>
  <si>
    <t>Grand Decade Developments Limited is a Hong Kong-based private investment firm specializing in healthcare and pharmaceutical investments. The firm focuses on identifying and supporting companies within the healthcare and pharmaceutical sectors, aiming to enhance their growth and development through strategic investments and partnerships.    The firm's investment strategy encompasses various stages of company development, including growth, late-stage, and pre-IPO phases. This approach allows Grand Decade Developments Limited to engage with companies at different points in their lifecycle, providing tailored support to meet their specific needs and objectives.    With a global investment perspective, Grand Decade Developments Limited targets a wide range of geographical regions, including Hong Kong, Mainland China, the United States, Europe, Japan, South Korea, India, Australia, Singapore, Taiwan, Malaysia, Thailand, Indonesia, the Philippines, Vietnam, Pakistan, Bangladesh, Sri Lanka, Nepal, Afghanistan, and Myanmar. This extensive geographical focus enables the firm to diversify its portfolio and leverage opportunities across various international markets.</t>
  </si>
  <si>
    <t>Healthcare, Pharmaceuticals</t>
  </si>
  <si>
    <t>Healthcare, Healthcare Services, Pharmaceuticals, Medical Devices, Diagnostics, Biotechnology, Medical Research, Consumer Health, Medical Equipment, Healthcare IT, Healthcare Distribution, Healthcare Logistics, Healthcare Consulting, Healthcare Education, Healthcare Retail</t>
  </si>
  <si>
    <t>United States, Hong Kong, Japan, Australia, Europe, Singapore, India, Indonesia, South Korea, Pakistan, Bangladesh, Vietnam, Malaysia, Afghanistan, Philippines, Thailand, Taiwan, Sri Lanka, Nepal, Myanmar, Mainland China</t>
  </si>
  <si>
    <t>Strong growth potential, Experienced management team, Innovative products or services, Scalable business model, Competitive market position, Regulatory compliance, Financial stability, Clear exit strategy, Alignment with firm's investment philosophy, Commitment to ethical business practices</t>
  </si>
  <si>
    <t>Grand Pharmaceutical Group Limited, Outwit Investments Limited, Henderson Land Development, The Hongkong and Yaumati Ferry Co Ltd, MTR Corporation, Cheung Kong Holdings, Nan Fung Development, Precise Treasure Limited, Superb Idea Holdings Limited, Wealth Train Limited, Value Tree Holdings Limited, Sky Solution Holdings Limited, Pioneer Decade Investments Limited</t>
  </si>
  <si>
    <t>GT Healthcare Capital Partners</t>
  </si>
  <si>
    <t>https://www.gthealthcare.org</t>
  </si>
  <si>
    <t>appointments@gthealthcare.org</t>
  </si>
  <si>
    <t>833-471-6077</t>
  </si>
  <si>
    <t xml:space="preserve">GT Healthcare Capital Partners is a private equity firm specializing in healthcare investments across Asia, with a strong presence in China. The firm focuses on providing capital and expertise to healthcare businesses, aiming to transform technology landscapes in the industry. GT Healthcare Capital Partners has launched AI-driven drug development companies and entered into collaborations to accelerate drug discovery processes. The firm has invested in companies such as GT Apeiron Therapeutics, a biotechnology company utilizing artificial intelligence for drug discovery, and has a history of supporting innovative healthcare ventures in the region. GT Healthcare Capital Partners is led by experienced professionals with backgrounds in healthcare investment and corporate finance, including individuals like Alan Au, the founder and managing partner, and Dr. Mingxi Li, a partner with expertise in life sciences and the China healthcare market. The firm's portfolio includes investments in various sectors within the healthcare industry, reflecting its commitment to advancing healthcare through strategic investments and partnerships. GT Healthcare Capital Partners continues to seek opportunities to invest in and support healthcare companies across Asia, leveraging its expertise and network to drive growth and innovation in the sector.     </t>
  </si>
  <si>
    <t>Healthcare, Artificial Intelligence, Digital Health, Pharmaceuticals, Medical Devices, Diagnostics, Machine Learning, Biotechnology, Health and Wellness, Health Services, Clinical Trials, Consumer Health, Medical Equipment, Health Insurance, Health IT</t>
  </si>
  <si>
    <t>Hong Kong, Japan, Australia, Singapore, China, India, Indonesia, South Korea, Pakistan, Bangladesh, Vietnam, Malaysia, Afghanistan, Philippines, Thailand, Maldives, Sri Lanka, Nepal, Bhutan, Myanmar, Laos</t>
  </si>
  <si>
    <t>Focus on healthcare and technology sectors, Preference for companies with innovative technologies, Interest in cross-border investment opportunities, Emphasis on market scalability in Asia/Greater China region, Alignment with firm's investment strategy and values</t>
  </si>
  <si>
    <t>GT Apeiron Therapeutics</t>
  </si>
  <si>
    <t>Leafy Tunnel</t>
  </si>
  <si>
    <t>London, England</t>
  </si>
  <si>
    <t>https://www.leafytunnel.com/</t>
  </si>
  <si>
    <t>info@leafytunnel.com</t>
  </si>
  <si>
    <t>Leafy Tunnel is an early-stage venture capital firm investing in alternative medicine to address mental health and pain disorders. The firm focuses on the transformative potential of medicinal cannabis and psychedelics, aiming to fuel the growth of pioneering companies at the forefront of research, development, and commercialization in these sectors. By leveraging its extensive network, expertise, and resources, Leafy Tunnel seeks to partner with entrepreneurs and startups that share its vision for the future of alternative medicine and are poised to make a positive impact. The firm's investment approach is rooted in rigorous and comprehensive analysis, honest feedback, and a commitment to ethical and sustainable practices. Through its investments, Leafy Tunnel aims to provide relief from pain and mental health disorders while improving the quality of life for patients and their families. The firm is primarily focused on the European market, concentrating on building a portfolio of companies that will lead, legitimize, and form the future of cannabis and psychedelics in the medical industry. By supporting healthcare disruptors who provide solutions for mental and emotional well-being, Leafy Tunnel is committed to shaping a brighter future together with its partners.     Leafy Tunnel's mission is to back teams that aim to maximize the potential of alternative medicine, focusing on providing relief from pain and mental health disorders while improving the quality of life for patients and their families. The firm invests in healthcare disruptors who provide solutions for mental and emotional well-being, primarily focusing on the European market. Leafy Tunnel is concentrating on building a portfolio of companies that will lead, legitimize, and form the future of cannabis and psychedelics in the medical industry. The firm's investment approach is rooted in rigorous and comprehensive analysis, honest feedback, and a commitment to ethical and sustainable practices. By leveraging its extensive network, expertise, and resources, Leafy Tunnel seeks to partner with entrepreneurs and startups that share its vision for the future of alternative medicine and are poised to make a positive impact. Through its investments, Leafy Tunnel aims to provide relief from pain and mental health disorders while improving the quality of life for patients and their families.     Leafy Tunnel is an early-stage venture capital firm investing in alternative medicine to address mental health and pain disorders. The firm focuses on the transformative potential of medicinal cannabis and psychedelics, aiming to fuel the growth of pioneering companies at the forefront of research, development, and commercialization in these sectors. By leveraging its extensive network, expertise, and resources, Leafy Tunnel seeks to partner with entrepreneurs and startups that share its vision for the future of alternative medicine and are poised to make a positive impact. The firm's investment approach is rooted in rigorous and comprehensive analysis, honest feedback, and a commitment to ethical and sustainable practices. Through its investments, Leafy Tunnel aims to provide relief from pain and mental health disorders while improving the quality of life for patients and their families. The firm is primarily focused on the European market, concentrating on building a portfolio of companies that will lead, legitimize, and form the future of cannabis and psychedelics in the medical industry. By supporting healthcare disruptors who provide solutions for mental and emotional well-being, Leafy Tunnel is committed to shaping a brighter future together with its partners.</t>
  </si>
  <si>
    <t>Healthcare, Biotech</t>
  </si>
  <si>
    <t>Healthcare, Pharmaceuticals, Medical Devices, Biotech, Clinical Trials, Supply Chain Management, Cannabis, Mental Health, Telemedicine, Psychedelics, Research and Development, Regulatory Affairs, Patient Care, Alternative Medicine, Pain Management</t>
  </si>
  <si>
    <t>United States, United Kingdom, Canada, Japan, Australia, Europe, Singapore, China, India, Indonesia, South Korea, Pakistan, Bangladesh, South Africa, Vietnam, Malaysia, New Zealand, Philippines, Thailand, Sri Lanka, Nepal</t>
  </si>
  <si>
    <t>Companies focused on alternative medicine, Addressing mental health and pain disorders, Primarily in the European market, Seed and Series A stages, Commitment to ethical and sustainable practices, Innovative approaches to healthcare, Potential for positive impact on patients and families, Alignment with Leafy Tunnel's mission and vision</t>
  </si>
  <si>
    <t>Lyphe Group</t>
  </si>
  <si>
    <t>Bill &amp; Melinda Gates Foundation Strategic Investment Fund</t>
  </si>
  <si>
    <t>https://sif.gatesfoundation.org/</t>
  </si>
  <si>
    <t>media@gatesfoundation.org</t>
  </si>
  <si>
    <t>(206) 709-3400</t>
  </si>
  <si>
    <t>The Bill &amp; Melinda Gates Foundation Strategic Investment Fund (SIF) is the impact-first strategic investment arm of the Gates Foundation, dedicated to addressing market failures by investing in sectors such as life sciences, healthcare, agriculture, nutrition, and financial services. By leveraging private sector resources and expertise, SIF aims to develop and scale innovative solutions that improve lives globally.    SIF employs a range of financial tools, including volume guarantees, structured financing, debt, and venture capital, to overcome market obstacles and catalyze impact where it is most needed. The fund's portfolio includes investments in mobile money platforms, credit scoring systems for women, and vaccine delivery initiatives, demonstrating its commitment to sustainable and scalable solutions.    Through strategic investments, SIF seeks to complement the Gates Foundation's grantmaking efforts, driving discovery, scaling innovation, and unlocking markets for impact. By aligning with the foundation's mission, SIF contributes to the broader goal of eradicating poverty, disease, and inequity worldwide.</t>
  </si>
  <si>
    <t>Financial Services, Healthcare, Agriculture, Life Sciences, Nutrition</t>
  </si>
  <si>
    <t>United States, China, India, Brazil, Mexico, Indonesia, Kenya, South Korea, Egypt, Pakistan, Bangladesh, South Africa, Vietnam, Ethiopia, Philippines, Thailand, Nigeria, Colombia, Myanmar, Democratic Republic of the Congo</t>
  </si>
  <si>
    <t>Focus on life sciences, healthcare, agriculture, nutrition, and financial services, Alignment with the Gates Foundation's mission to improve lives globally, Potential for scalable and sustainable impact</t>
  </si>
  <si>
    <t>bKash, Jumo, M-KOPA, One Acre Fund, Sanofi Pasteur, Gavi, the Vaccine Alliance, mPharma, d.light, Solar Sister, Tulaa, Tata Trusts, Arogya World, Grameen Foundation, TechnoServe, BRAC, Path, Living Goods, VillageReach, Medic Mobile, D-tree International</t>
  </si>
  <si>
    <t>Clermont Group</t>
  </si>
  <si>
    <t>80 Raffles Place, Level 46, Singapore 048624</t>
  </si>
  <si>
    <t>https://www.clermont.com</t>
  </si>
  <si>
    <t>info@clermont.com</t>
  </si>
  <si>
    <t>+65 6210 5500</t>
  </si>
  <si>
    <t>Clermont Group is an international private investment firm headquartered in Singapore, focusing on building great companies across various sectors. The firm operates in healthcare, financial services, aerospace, and technology, with a commitment to enhancing the prosperity and well-being of the communities it serves. Its operating companies include Hoan My, Vietnam's largest private healthcare group; SBFC, a financial services business in India specializing in lending to small business owners and entrepreneurs; and magniX, a U.S.-based aerospace business producing fully integrated electric powertrains for aircraft.    The firm's investment strategy encompasses a wide range of asset classes, including private equity, venture capital, real estate, infrastructure, hedge funds, commodities, crypto, distressed and special situations, ESG and impact investing, and fixed income. It engages in investments at various stages, from seed and early-stage to growth, late-stage, pre-IPO, buyout, turnaround, and distressed situations. Geographically, Clermont Group has a diverse focus, with investments in countries such as Vietnam, India, the United States, Singapore, Indonesia, the Philippines, Kenya, Egypt, Pakistan, Australia, Israel, Japan, South Korea, Russia, Brazil, China, Hong Kong, Malaysia, and Thailand.    Clermont Group's philosophy centers on the belief that business is a noble calling, aiming to build iconic companies that lead their industries and shape culture. The firm values entrepreneurship and emphasizes building partnerships based on trust with others in the marketplace and society. Its operating companies employ over 9,000 people worldwide, reflecting its commitment to creating value and fostering growth in the communities it serves.</t>
  </si>
  <si>
    <t>Private Equity, Venture Capital, Real Estate, Infrastructure, Hedge Funds, Commodities, Crypto, Distressed and Special Situations, ESG and Impact Investing, Fixed Income (Debt and Bonds)</t>
  </si>
  <si>
    <t>Financial Services, Technology, Healthcare, Energy, Consumer Goods, Real Estate, Telecommunications, Utilities, Media, Retail, Education, Transportation, Aerospace, Hospitality, Manufacturing</t>
  </si>
  <si>
    <t>United States, Hong Kong, Japan, Australia, Singapore, China, India, Brazil, Indonesia, Kenya, South Korea, Egypt, Pakistan, Russia, Vietnam, Malaysia, Philippines, Israel, Thailand</t>
  </si>
  <si>
    <t>Strong management teams, Scalable business models, Potential for market leadership, Alignment with Clermont's values and mission</t>
  </si>
  <si>
    <t>Hoan My Medical Corporation, SBFC, magniX, Eviation Aircraft, OakNorth Bank, Rumi Education, Newtown International, Viva Healthcare, Razi Healthcare, The Medical City, InterOil, Cairn India, Unified Energy Systems, LG Group, Gazprom, Mizuho, UFJ Holdings, Housing Development Finance Corp, ICICI Bank, UTI Bank</t>
  </si>
  <si>
    <t>Alturki Ventures</t>
  </si>
  <si>
    <t>Seef District, Block 436, Road 3622, Manama</t>
  </si>
  <si>
    <t>https://alturkiventures.com</t>
  </si>
  <si>
    <t>info@alturkiventures.com</t>
  </si>
  <si>
    <t>966112815988</t>
  </si>
  <si>
    <t xml:space="preserve">Alturki Ventures is a venture capital firm investing in high-growth startups across various sectors in the Middle East and Asia. The firm focuses on sectors such as digital transformation, educational technology, entertainment, fintech, healthtech, logistics, and mobility. Alturki Ventures seeks to partner with entrepreneurs who are driven to create transformative solutions that increase the productivity of organizations everywhere. The firm is dedicated to supporting innovative businesses with high growth potential, aiming to foster the development of leading companies in the region. Alturki Ventures is committed to contributing to the economic growth and advancement of the Middle East and Asia by investing in and nurturing startups that have the potential to make a significant impact in their respective industries. The firm's investment strategy emphasizes collaboration with entrepreneurs to build successful and sustainable businesses that can thrive in the competitive global market.     Alturki Ventures is the venture capital arm of Alturki Holding, a leading business in the Kingdom of Saudi Arabia. As part of Alturki Holding, the firm leverages the group's extensive experience and resources to identify and support promising startups. The firm's portfolio includes companies that are at the forefront of innovation in their respective fields, reflecting its commitment to fostering technological advancement and economic development in the region. Alturki Ventures operates with a focus on delivering value to its stakeholders by investing in companies that align with its strategic objectives and contribute to the growth of the regional economy. The firm's approach combines financial support with strategic guidance to help portfolio companies achieve their growth objectives and realize their full potential.     Through its investments, Alturki Ventures aims to create a positive impact on the Middle East and Asia by supporting businesses that are poised to lead in their industries. The firm's dedication to innovation and excellence drives its investment decisions, ensuring that it partners with companies that share its vision for transformative growth and success. Alturki Ventures continues to explore new opportunities to expand its portfolio and strengthen its presence in the venture capital landscape, contributing to the dynamic and evolving business environment of the region.     </t>
  </si>
  <si>
    <t>HealthTech, FinTech, Logistics, Entertainment, Mobility, Digital Transformation, Educational Technology</t>
  </si>
  <si>
    <t>Japan, Singapore, India, United Arab Emirates, Indonesia, South Korea, Saudi Arabia, Qatar, Kuwait, Oman, Egypt, Lebanon, Bahrain, Turkey, Pakistan, Jordan, Vietnam, Malaysia, Philippines, Thailand</t>
  </si>
  <si>
    <t>High growth potential, Innovative solutions, Strong management team, Scalable business model, Market leadership potential</t>
  </si>
  <si>
    <t>SWC Global</t>
  </si>
  <si>
    <t>143 Cecil Street, GB Building, Singapore</t>
  </si>
  <si>
    <t>https://www.swcglobal.com/</t>
  </si>
  <si>
    <t>office@swcglobal.com</t>
  </si>
  <si>
    <t>SWC Global is a Singapore-based venture capital firm that focuses on investing in disruptive technologies and business models within emerging megatrends across Asia. As an affiliate of a leading multi-billion dollar venture capital firm, SWC Global leverages its extensive network and resources to support innovative founders in the region. The firm has a strong presence in Southeast Asia and India, with investments in over 40 unicorns and 12 decacorns, demonstrating its commitment to fostering high-growth companies.  The firm's investment strategy encompasses a wide range of sectors, including technology, consumer goods, e-commerce, fintech, edtech, healthtech, logistics, media, entertainment, food and beverage, travel and hospitality, real estate, agriculture, energy, education, retail, telecommunications, transportation, manufacturing, and automotive. SWC Global's portfolio spans various stages of company development, from seed to late-stage growth, reflecting its versatile approach to supporting businesses at different phases of their lifecycle.  With a disciplined investment approach, SWC Global aims to achieve long-term capital appreciation by primarily investing in a portfolio of broad-based exchange-traded funds. The firm systematically uses listed options to enhance yield and manage downside risk, ensuring a balanced and sustainable growth trajectory for its investments. This strategy underscores SWC Global's commitment to disciplined risk management and long-term compounding, aligning with the interests of its investors and portfolio companies alike.</t>
  </si>
  <si>
    <t>Seed, Early Stage, Late Stage, Growth</t>
  </si>
  <si>
    <t>Technology, Energy, Consumer Goods, Real Estate, Telecommunications, Media, Automotive, Retail, Education, Agriculture, HealthTech, EdTech, FinTech, E-commerce, Logistics, Transportation, Food and Beverage, Manufacturing, Entertainment, Travel and Hospitality</t>
  </si>
  <si>
    <t>Innovative founders with disruptive technologies or business models, Companies operating in emerging megatrends across Asia, Businesses at various stages of development, from seed to late-stage growth, Alignment with SWC Global's investment strategy and focus areas</t>
  </si>
  <si>
    <t>Meesho, Let's Try, ShareChat, Stimuler, Country Delight, MeetRecord, WebEngage, Zomato, Snitch, KukuFM, Growfin, Evermos, Gojek, Yup, Greney, ServAuto, Jolibox, Rose All Day, LingoAce, PuppyGraph</t>
  </si>
  <si>
    <t>otf Jasoor Ventures</t>
  </si>
  <si>
    <t>Ground floor, KOM 5 Knowledge Oasis, Muscat</t>
  </si>
  <si>
    <t>Masqat</t>
  </si>
  <si>
    <t>https://www.otf.om/</t>
  </si>
  <si>
    <t>info@otf.om</t>
  </si>
  <si>
    <t>+968 2 4172717</t>
  </si>
  <si>
    <t xml:space="preserve">otf Jasoor Ventures is a venture capital firm based in Muscat, Oman, focusing on early-stage technology companies with scalable business models. The firm is part of the Oman Technology Fund (OTF), which aims to position Oman as a knowledge leader in the Middle East by supporting innovative tech startups. otf Jasoor Ventures primarily invests in the MENA region, including countries like the United Arab Emirates, Egypt, Pakistan, the United States, and the United Kingdom.    The firm's investment strategy is sector-agnostic, targeting post-seed stage companies. Initial investments range from $500,000 to $2 million, with the potential for follow-on funding up to a maximum of $3.5 million per company. otf Jasoor Ventures has a diverse portfolio, including companies in technology, financial services, fintech, information technology, B2B, payments, banking, travel, logistics, transportation, and software sectors. Notable investments include ELEVATUS, a company that raised funding in September 2022, and SWVL Technologies, a transportation company that secured early-stage venture funding in June 2019.    The firm emphasizes adding value to its portfolio companies beyond capital investment. This support includes assistance with market access, legal guidance, and establishing a presence in Oman. otf Jasoor Ventures actively evaluates startups that align with its investment thesis, assessing factors such as team composition, market opportunity, company performance, and expansion plans. The firm aims to foster a collaborative ecosystem where startups can learn from each other's successes and challenges, potentially collaborating in areas of mutual interest.    </t>
  </si>
  <si>
    <t>Financial Services, Technology, Banking, Software, FinTech, Logistics, Transportation, B2B, Information Technology, Travel, Payments</t>
  </si>
  <si>
    <t>United States, United Kingdom, United Arab Emirates, Oman, Egypt, Pakistan</t>
  </si>
  <si>
    <t>Post-seed stage companies with scalable business models in the MENA region</t>
  </si>
  <si>
    <t>ELEVATUS, SWVL Technologies</t>
  </si>
  <si>
    <t>Capital Assets LLC</t>
  </si>
  <si>
    <t>https://capitalasset.vn/</t>
  </si>
  <si>
    <t>hoangduong@capitalasset.vn</t>
  </si>
  <si>
    <t>+84.944559902</t>
  </si>
  <si>
    <t>Capital Assets LLC is a private investment firm specializing in asset management and financial services. The firm focuses on sectors such as energy, real estate, healthcare, and new technology, aiming to revitalize businesses and enhance their productivity, competitiveness, and profitability. Capital Assets LLC operates as a strategic advisor and investor in private equity transactions, emphasizing a hands-on approach to business operations.  The firm's investment strategy involves underwriting the equity portion of transactions directly and through associated family offices, allowing partner clients the opportunity to co-invest. This model reflects a preference for investment discretion, with many high-net-worth investors being hands-on business owners. When debt financing is required, Capital Assets LLC arranges it through a network of leading financial institutions with which it maintains close relationships.  Capital Assets LLC is particularly interested in backing and co-investing with other investment groups in private plays of established companies throughout the United States, China, and various Asian countries. The firm is neither a lender nor a securities broker-dealer; it operates only as a strategic advisor and private equity investor. The firm is industry agnostic and happy to invest globally, as long as it is dealing with the right management team.</t>
  </si>
  <si>
    <t>Energy, Real Estate, Healthcare, New Tech</t>
  </si>
  <si>
    <t>Technology, Healthcare, Energy, Real Estate, Security</t>
  </si>
  <si>
    <t>United States, Japan, Singapore, China, India, Indonesia, South Korea, Pakistan, Bangladesh, Vietnam, Malaysia, Philippines, Thailand, Sri Lanka, Nepal, Myanmar, Cambodia, Laos, Brunei, Timor-Leste</t>
  </si>
  <si>
    <t>Companies with significant owner investment, Rapid growth expectations, Minimum revenue of $10 million, Minimum free cash flow (EBITDA) of $2 million, Interest in roll-up opportunities</t>
  </si>
  <si>
    <t>Al Ramz Capital</t>
  </si>
  <si>
    <t>Sky Tower, 22nd Floor, Reem Island, Abu Dhabi</t>
  </si>
  <si>
    <t>http://www.alramz.ae/</t>
  </si>
  <si>
    <t>info@alramz.ae</t>
  </si>
  <si>
    <t>+971 2 626 2626</t>
  </si>
  <si>
    <t xml:space="preserve">Al Ramz Capital is a prominent investment firm based in the United Arab Emirates, specializing in brokerage and asset management services. Established in 1998, the firm has built a strong reputation in the UAE's financial sector, providing a wide range of investment solutions to its clients. Its services encompass trading, market making, liquidity provision, and financial consulting, catering to both individual and institutional investors.    The firm's investment strategy is diversified across multiple asset classes, including fixed income, equity, real estate, commodities, hedge funds, private equity, and venture capital. Al Ramz Capital focuses on various stages of investment, from early-stage ventures to late-stage buyouts and distressed assets. Geographically, the firm has a broad focus, investing in markets across the Middle East, North Africa, Asia, Europe, and select countries in North America and Australia.    Al Ramz Capital has demonstrated a consistent ability to enhance liquidity provision by facilitating synergistic relationships within distinct markets. Since introducing its market-making and liquidity provision services, Al Ramz has firmly established itself as a prominent leader in this domain. These services are available on the Abu Dhabi Securities Exchange, the Dubai Financial Markets, and the Nasdaq Dubai. The firm's commitment to excellence is evident in its strategic partnerships and its role in enhancing market efficiency and transparency.    </t>
  </si>
  <si>
    <t>Fixed Income (Debt and Bonds), Equity, Real Estate, Commodities, Hedge Funds, Private Equity, Venture Capital</t>
  </si>
  <si>
    <t>Financial Services, Technology, Healthcare, Energy, Consumer Goods, Industrials, Real Estate, Materials, Telecommunications, Utilities, Transportation, Consumer Services, Basic Materials, Consumer Non-Durables, Consumer Durables</t>
  </si>
  <si>
    <t>United States, United Kingdom, Germany, Japan, Australia, China, India, France, United Arab Emirates, South Korea, Saudi Arabia, Qatar, Kuwait, Oman, Egypt, Lebanon, Bahrain, Turkey, Pakistan, Jordan, Iraq</t>
  </si>
  <si>
    <t>Open to both individual and institutional investors, Focus on diversified asset classes and investment stages, Geographical focus includes Middle East, North Africa, Asia, Europe, and select countries in North America and Australia</t>
  </si>
  <si>
    <t>Investcorp Capital plc, Watania International Holding, Al Ramz Real Estate Company, Al Ramz Corporation Investment and Development, Al Khaleej Investment PSC, Hayah Insurance Co PJSC, Al Ramz Capital LLC</t>
  </si>
  <si>
    <t>EZA Hill Property</t>
  </si>
  <si>
    <t>https://www.ezahill.com</t>
  </si>
  <si>
    <t>contact@ezahill.com</t>
  </si>
  <si>
    <t xml:space="preserve">EZA Hill Property is a real estate investment firm specializing in logistics and industrial assets across Southeast Asia. Backed by Hillhouse Capital's real assets division, Rava Partners, the firm focuses on developing and managing high-quality real estate to meet the growing infrastructure needs of the region. Their portfolio includes properties in Singapore, Indonesia, and Thailand, with plans for further expansion.    The firm's investment strategy centers on acquiring and developing logistics facilities, cold chain warehouses, and industrial parks to support the evolving supply chain demands in Southeast Asia. EZA Hill Property collaborates with local and international partners to identify and execute investment opportunities, aiming to deliver value through strategic asset management and development.    EZA Hill Property's approach combines local market expertise with Hillhouse Capital's global investment experience, positioning the firm to capitalize on the region's economic growth and urbanization trends. Their focus on real assets aligns with the increasing demand for specialized infrastructure in Southeast Asia, driven by industrialization and a growing middle class.    </t>
  </si>
  <si>
    <t>Technology, Healthcare, Energy, Telecommunications, Media, Finance, Retail, Education, Agriculture, E-commerce, Logistics, Transportation, Hospitality, Construction, Manufacturing, Industrial Real Estate, Real Estate Development, Supply Chain Management, Warehousing, Cold Chain</t>
  </si>
  <si>
    <t>Japan, Australia, Singapore, India, Indonesia, South Korea, Pakistan, Bangladesh, Vietnam, Malaysia, New Zealand, Philippines, Thailand, Maldives, Sri Lanka, Nepal, Myanmar, Cambodia, Laos, Brunei, Timor-Leste</t>
  </si>
  <si>
    <t>Focus on logistics and industrial real estate assets, Preference for assets in Southeast Asia, Interest in both development and acquisition opportunities, Long-term investment horizon</t>
  </si>
  <si>
    <t>EZA Hill Property Management Pte Ltd, EZA Hill Property Management (Thailand) Co., Ltd., EZA Hill Property Management (Indonesia) Co., Ltd., EZA Hill Property Management (Malaysia) Sdn Bhd, EZA Hill Property Management (Vietnam) Co., Ltd., EZA Hill Property Management (Philippines) Inc., EZA Hill Property Management (Myanmar) Co., Ltd., EZA Hill Property Management (Laos) Co., Ltd., EZA Hill Property Management (Cambodia) Co., Ltd., EZA Hill Property Management (Brunei) Sdn Bhd, EZA Hill Property Management (Timor-Leste) Lda., EZA Hill Property Management (Japan) K.K., EZA Hill Property Management (South Korea) Co., Ltd., EZA Hill Property Management (Australia) Pty Ltd, EZA Hill Property Management (New Zealand) Ltd., EZA Hill Property Management (India) Pvt. Ltd., EZA Hill Property Management (Pakistan) Pvt. Ltd., EZA Hill Property Management (Bangladesh) Ltd., EZA Hill Property Management (Nepal) Pvt. Ltd., EZA Hill Property Management (Sri Lanka) Pvt. Ltd., EZA Hill Property Management (Maldives) Pvt. Ltd.</t>
  </si>
  <si>
    <t>EvolutionX Debt Capital</t>
  </si>
  <si>
    <t>Debt Investor</t>
  </si>
  <si>
    <t>https://evolutionx.com.sg/</t>
  </si>
  <si>
    <t>info@evolutionx.com.sg</t>
  </si>
  <si>
    <t>EvolutionX Debt Capital is a US$500 million growth stage debt financing platform established by DBS and Temasek, headquartered in Singapore. The platform focuses on providing non-dilutive financing to growth stage technology-enabled companies across Asia, with a particular emphasis on China, India, and Southeast Asia. By offering alternative sources of capital, EvolutionX aims to support the expansion and scaling of high-growth technology companies in the region.  The platform's investment strategy centers on sectors such as financial services, consumer products, healthcare, education, and industrial development. EvolutionX seeks to bridge the funding gap for companies that have progressed beyond early-stage financing but are not yet ready for late-stage debt financing. By offering growth debt, EvolutionX enables companies to extend their cash runway with minimal dilution, allowing founders and entrepreneurs to retain greater ownership and control over their businesses.  Leveraging the combined expertise and networks of DBS and Temasek, EvolutionX Debt Capital provides strategic support to its portfolio companies, facilitating their entry into new markets and accelerating their growth trajectories. The platform's approach is designed to foster innovation and contribute to the development of a sustainable and resilient future for the technology sector in Asia.</t>
  </si>
  <si>
    <t>Fixed Income (Debt and Bonds)</t>
  </si>
  <si>
    <t>Financial Services, Technology, Healthcare, Education, Consumer, Industrial Development</t>
  </si>
  <si>
    <t>Technology-enabled companies in growth stage, Focus on China, India, and Southeast Asia, Sectors: financial services, consumer products, healthcare, education, industrial development, Seeking non-dilutive financing options</t>
  </si>
  <si>
    <t>Rigel Capital</t>
  </si>
  <si>
    <t>391B Orchard Road, #22 Ngee Ann City, Singapore 238874</t>
  </si>
  <si>
    <t>https://rigelcapital.com/</t>
  </si>
  <si>
    <t>investor.relations@rigelcapital.com</t>
  </si>
  <si>
    <t>760-813-3777</t>
  </si>
  <si>
    <t>Rigel Capital is a Singapore-based venture capital firm specializing in purpose-driven innovation to address global health and environmental challenges. The firm focuses on investing in hyper-growth companies across emerging markets in Southeast Asia, South Asia, and the Middle East, aiming to build regional champions that have a positive impact on employees, customers, investors, and citizens.  The firm's investment strategy involves identifying promising founders and startups with the potential to become regional category leaders. Rigel Capital provides capital and operational support to scale innovative businesses in sectors such as logistics, food security, retail, trade, and sustainable mobility. The firm emphasizes sustainability, environmental impact, synergies, scalability, excellence, innovation, and integrity in its operations.  Rigel Capital's portfolio includes companies like Brandami, Clevon, Volta, mCash, DMMX, and Amilo, which operate in various industries including technology, healthcare, logistics, and sustainable mobility. The firm has made investments ranging from $1 million to $50 million, supporting businesses at seed, early stage, growth, and late stages of development.  Rigel Capital's mission is to build dominant cash-generating companies that have a positive impact on employees, customers, investors, and citizens across Asia and the Middle East. The firm implements complex strategies and maintains a perpetual focus on creating a better future impact through its investments.  For more information, visit Rigel Capital's official website at https://rigelcapital.com/ or contact them via email at investor.relations@rigelcapital.com.</t>
  </si>
  <si>
    <t>Venture Capital, Private Equity, ESG and Impact Investing</t>
  </si>
  <si>
    <t>Financial Services, Technology, Healthcare, Consumer Goods, Infrastructure, Media, Retail, Education, Renewable Energy, Agriculture, Logistics, Biotechnology, Trade, Food Security, Sustainable Mobility</t>
  </si>
  <si>
    <t>Singapore, India, United Arab Emirates, Indonesia, Saudi Arabia, Qatar, Kuwait, Oman, Egypt, Lebanon, Bahrain, Pakistan, Jordan, Bangladesh, Vietnam, Malaysia, Afghanistan, Philippines, Thailand, Sri Lanka, Nepal</t>
  </si>
  <si>
    <t>Innovative solutions addressing global health and environmental challenges, Strong potential for regional leadership, Positive impact on stakeholders including employees, customers, investors, and citizens, Alignment with Rigel Capital's values of sustainability, environmental impact, synergies, scalability, excellence, innovation, and integrity</t>
  </si>
  <si>
    <t>Brandami, Clevon, Volta, mCash, DMMX, Amilo</t>
  </si>
  <si>
    <t>CollinStar Capital</t>
  </si>
  <si>
    <t>Melbourne, Australia</t>
  </si>
  <si>
    <t>https://www.collinstar.com</t>
  </si>
  <si>
    <t>CollinStar Capital is an Australian venture capital firm specializing in blockchain infrastructure, digital currency investment, and related consulting services. Established in 2015, the firm is licensed by the Australian Securities and Investments Commission (ASIC) and operates under Australian Financial Services License (AFSL) 483761. The company has a global presence with offices in Australia and China, reflecting its commitment to bridging the gap between Western and Asian markets in the blockchain and cryptocurrency sectors.    The firm's investment strategy focuses on early-stage to growth-stage companies in the blockchain and cryptocurrency industries. CollinStar Capital has been involved in several notable investments, including early backing of major cryptocurrency exchanges such as Binance and ZB.com, as well as projects like TRON and VeChain. The firm has also participated in strategic alliances and investments, such as a $300 million blockchain industry fund established in partnership with a leading financial technology institute.    CollinStar Capital's approach emphasizes a comprehensive understanding of the blockchain ecosystem, aiming to support innovative projects that drive the adoption and integration of blockchain technology across various industries. The firm's portfolio reflects a diverse range of sectors, including technology, financial services, and infrastructure, underscoring its commitment to fostering the growth of blockchain applications worldwide.</t>
  </si>
  <si>
    <t>Financial Services, Technology, Healthcare, Energy, Real Estate, Infrastructure, Media, Retail, Software, Education, Agriculture, FinTech, Cryptocurrency, Logistics, Transportation, Blockchain, Digital Assets, Entertainment, Hardware, Sports</t>
  </si>
  <si>
    <t>United States, Hong Kong, Japan, Australia, Singapore, China, India, Indonesia, South Korea, Pakistan, Bangladesh, Vietnam, Malaysia, Afghanistan, Philippines, Thailand, Taiwan, Maldives, Sri Lanka, Nepal, Bhutan, Myanmar</t>
  </si>
  <si>
    <t>Focus on blockchain and cryptocurrency ventures, Preference for early-stage investments, Interest in diverse industries including technology, financial services, and energy, Geographical focus on Asia-Pacific region and select global markets, Innovative blockchain and cryptocurrency projects, Strong management teams, Scalable business models, Clear regulatory compliance, Potential for significant market impact</t>
  </si>
  <si>
    <t>Binance, ZB.com, Tron, VeChain, QTUM, OmiseGo, Aeternity, Cybermiles, Power Ledger, Monash University Blockchain Research Lab, Hong Kong Polytechnic University Blockchain Research Lab, BTC Vietnam, Wevat, HostNFly, Playtika, Behavior Interactive, Mavatar, ContentBox, DeGame, Wident, ENT Foundation, Hcash Foundation, StrongU, Goopal Group, BiWang Group, Molecular Future, Babel, Drep, Usechain, Deuro, HitChain</t>
  </si>
  <si>
    <t>42X Fund</t>
  </si>
  <si>
    <t>Maryah Island, Abu Dhabi</t>
  </si>
  <si>
    <t>https://www.g42.ai/companies/42x-fund</t>
  </si>
  <si>
    <t xml:space="preserve">42X Fund is a global technology growth fund formed in strategic partnership with G42 and Abu Dhabi Growth Fund (ADG). The fund is focused on accelerating the pace of global innovation by partnering with leading entrepreneurs and companies with disruptive technologies and strong business fundamentals. Anchored by a US $10bn capital commitment, we operate as a private equity investor, with a significant share of capital earmarked for high growth regions, in sectors ranging from ICT Value Chain, Digital Infrastructure, Climate, Life Sciences, Healthcare and Consumer.    The fund's investment strategy involves identifying and supporting companies that are at the forefront of technological innovation and have the potential to make a significant impact in their respective industries. By leveraging the expertise and resources of its partners, 42X Fund aims to drive growth and create value for its portfolio companies. The fund's focus on high growth regions reflects its commitment to fostering innovation and economic development in emerging markets.    Through its strategic partnerships and substantial capital commitment, 42X Fund is well-positioned to play a pivotal role in shaping the future of technology and innovation on a global scale. The fund's approach combines financial investment with strategic guidance to help portfolio companies achieve their growth objectives and contribute to the advancement of their industries.    </t>
  </si>
  <si>
    <t>Technology, Healthcare, Consumer, Climate, Digital Infrastructure, Life Sciences, ICT Value Chain</t>
  </si>
  <si>
    <t>Technology, Healthcare, Consumer, Climate, Life Sciences, Digital Infrastructure, ICT Value Chain</t>
  </si>
  <si>
    <t>United States, Singapore, China, India, Indonesia, Pakistan, Bangladesh, Vietnam, Mongolia, Malaysia, Afghanistan, Philippines, Thailand, Sri Lanka, Nepal, Myanmar, Cambodia, Laos, Brunei, Timor-Leste</t>
  </si>
  <si>
    <t>Strong business fundamentals, Disruptive technologies, High growth potential, Alignment with fund's sectors of interest</t>
  </si>
  <si>
    <t>eFishery</t>
  </si>
  <si>
    <t>Symbiotics</t>
  </si>
  <si>
    <t>31, rue de la Synagogue, Geneva</t>
  </si>
  <si>
    <t>https://symbioticsgroup.com</t>
  </si>
  <si>
    <t>https://www.linkedin.com/company/symbiotics</t>
  </si>
  <si>
    <t>info@symbioticsgroup.com</t>
  </si>
  <si>
    <t>+41 22 338 15 40</t>
  </si>
  <si>
    <t>Symbiotics is a prominent market access platform specializing in impact investing, focusing on private markets within emerging and frontier economies. The firm offers a comprehensive suite of services, including investment, asset management, and capacity building, aiming to foster sustainable development and financial inclusion. Since its inception in 2005, Symbiotics has originated over 8,200 investments, totaling more than USD 10.5 billion, benefiting 608 companies across 99 countries. The firm's portfolio spans 19 funds and mandates, managing an aggregate of USD 2.5 billion. Additionally, Symbiotics has supported its portfolio companies with over 170 technical assistance projects valued at more than USD 19 million.    Symbiotics employs a multifaceted investment strategy targeting various stages of business development, from seed to pre-IPO, and across diverse asset classes such as ESG and impact investing, fixed income, private equity, and venture capital. The firm's geographical focus encompasses a wide range of countries, including Afghanistan, Albania, Algeria, Angola, Argentina, Armenia, Bangladesh, Benin, Bhutan, Bolivia, Bosnia and Herzegovina, Botswana, Brazil, Burkina Faso, Burundi, Cambodia, Cameroon, Cape Verde, Central African Republic, Chad, China, Colombia, Comoros, Congo (Congo-Brazzaville), Congo (Congo-Kinshasa), Costa Rica, Cote d'Ivoire, Djibouti, Dominican Republic, Ecuador, Egypt, El Salvador, Ethiopia, Fiji, Gabon, Gambia, Ghana, Guatemala, Guinea, Guinea-Bissau, Honduras, India, Indonesia, Jamaica, Jordan, Kenya, Kiribati, Kyrgyzstan, Laos, Lesotho, Liberia, Madagascar, Malawi, Malaysia, Maldives, Mali, Mauritania, Mauritius, Mexico, Micronesia, Moldova, Morocco, Mozambique, Myanmar (Burma), Namibia, Nepal, Nicaragua, Niger, Nigeria, North Macedonia, Oman, Pakistan, Palau, Panama, Papua New Guinea, Paraguay, Peru, Philippines, Rwanda, Sao Tome and Principe, Senegal, Sierra Leone, Singapore, Solomon Islands, South Africa, South Korea, Sri Lanka, St. Kitts and Nevis, St. Lucia, St. Vincent and the Grenadines, Sudan, Suriname, Swaziland, Syria, Tajikistan, Tanzania, Thailand, Timor-Leste, Togo, Tonga, Trinidad and Tobago, Tunisia, Turkey, Turkmenistan, Tuvalu, Uganda, Ukraine, Uruguay, Uzbekistan, Vanuatu, Venezuela, Vietnam, West Bank and Gaza, Yemen, Zambia, and Zimbabwe.    The firm's investment philosophy centers on generating measurable social and environmental impact alongside financial returns. Symbiotics has a proven track record in structuring and originating investments that address critical development challenges, such as financial inclusion, renewable energy, and sustainable agriculture. By leveraging its extensive network and expertise, Symbiotics continues to play a pivotal role in mobilizing capital for sustainable development initiatives worldwide.</t>
  </si>
  <si>
    <t>Singapore, China, India, Brazil, Mexico, Indonesia, Ghana, Kenya, South Korea, Oman, Egypt, Tunisia, Morocco, Algeria, Turkey, Pakistan, Jordan, Bangladesh, South Africa, Vietnam, Malaysia, Afghanistan, Bosnia and Herzegovina, Niger, Sudan, Mali, Chad, Ethiopia, Djibouti, Mauritania, Yemen, Philippines, Thailand, Nigeria, Rwanda, Zambia, Argentina, Colombia, Peru, Syria, Comoros, Sao Tome and Principe, Uganda, Tanzania, Burundi, Mauritius, Maldives, Sri Lanka, Nepal, Bhutan, Cambodia, Laos, El Salvador, Bolivia, Panama, Uruguay, Venezuela, Dominican Republic, Costa Rica, Cape Verde, Cameroon, Senegal, Côte d'Ivoire, Mozambique, Angola, Ukraine, North Macedonia, Albania, Moldova, Armenia, Ecuador, Paraguay, Guatemala, Honduras, Nicaragua, Uzbekistan, Kyrgyzstan, Papua New Guinea, Trinidad and Tobago, Jamaica, Turkmenistan, Tajikistan, Benin, Zimbabwe, Gabon, Botswana, Namibia, Malawi, Sierra Leone, Liberia, Burkina Faso, Central African Republic, Congo (Congo-Brazzaville), Congo (Congo-Kinshasa), Gambia, Guinea, Guinea-Bissau, Kiribati, Lesotho, Madagascar, Solomon Islands, Suriname, Togo, Vanuatu, West Bank and Gaza, Timor-Leste, Fiji, Micronesia, Palau, Tonga, Tuvalu, Swaziland, St. Kitts and Nevis, Myanmar (Burma), St. Lucia, St. Vincent and the Grenadines</t>
  </si>
  <si>
    <t>Focus on emerging and frontier markets, Commitment to sustainable development and financial inclusion, Alignment with UN Sustainable Development Goals (SDGs), Interest in diverse asset classes and investment stages, Willingness to engage in technical assistance and capacity building initiatives</t>
  </si>
  <si>
    <t>Banco Múltiple Ademi, Djamo, Complete Farmer, Kashf Foundation, Nam A Bank</t>
  </si>
  <si>
    <t>Asia Capital Pioneers Group</t>
  </si>
  <si>
    <t>Unit 1807, 18/F, Tower 2 The Gateway, 25 Canton Road, Tsim Sha Tsui, Hong Kong</t>
  </si>
  <si>
    <t>https://acpgcapital.com/</t>
  </si>
  <si>
    <t>info@acpgcapital.com</t>
  </si>
  <si>
    <t>+852 3188 5625</t>
  </si>
  <si>
    <t>Asia Capital Pioneers Group (ACPG) is a Hong Kong-based family office specializing in global investments across high-growth industries. Founded in 2011, ACPG has developed a reputation for delivering above-market returns for its clients through strategic investments in sectors such as real estate and fintech. The firm serves a diverse client base, including some of Asia's wealthiest families, providing wealth and legacy planning services. ACPG's portfolio includes significant holdings like the Songdo International Business District and payments fintech Aleta Planet, where it leverages its management expertise and global connections to enhance value.    ACPG's investment strategy focuses on identifying and capturing opportunities in high-growth sectors, particularly in Asia's rapidly developing markets. The firm emphasizes creating synergies among its global portfolio companies to drive efficiencies and business growth. By providing senior management direction to its investee companies, ACPG aims to improve management practices and enhance the value of its investments. The firm's approach combines practical strategists with over 100 years of experience in creating and managing investments for some of Asia's wealthiest families.    With a strong track record in delivering above-market returns, ACPG continues to expand its global portfolio, focusing on sectors with high growth potential. The firm's commitment to innovation and strategic management has established it as a trusted partner for clients seeking to build enduring legacies and secure their financial futures. ACPG's expertise in wealth and legacy planning, combined with its active involvement in the management of its investee companies, underscores its dedication to creating value and fostering long-term success for its clients.</t>
  </si>
  <si>
    <t>Private Equity, Venture Capital, Real Estate, FinTech</t>
  </si>
  <si>
    <t>United States, United Kingdom, Hong Kong, Japan, Australia, Singapore, China, India, Indonesia, South Korea, Pakistan, Bangladesh, Vietnam, Malaysia, Philippines, Thailand, Nepal, Myanmar, Cambodia, Laos</t>
  </si>
  <si>
    <t>Focus on high-growth industries, Preference for strategic synergies among portfolio companies, Active involvement in management of investee companies</t>
  </si>
  <si>
    <t>Songdo International Business District, Aleta Planet</t>
  </si>
  <si>
    <t>BlockWater Capital</t>
  </si>
  <si>
    <t>Hedge Fund</t>
  </si>
  <si>
    <t>Asem Tower 30F, Samsung-Dong, Kangnam-gu, Seoul</t>
  </si>
  <si>
    <t>http://blockwater.io/</t>
  </si>
  <si>
    <t>general@blockwater.io</t>
  </si>
  <si>
    <t>BlockWater Capital is a digital asset investment firm based in Seoul, South Korea, focusing on bringing blockchain-enabled projects to real-world applications. The firm has made over 30 investments in blockchain startups, including CosmoChain, Blockcloud, Hashgard, and Fantom. BlockWater Capital has successfully operated Uupfi for two years without a single incident, accumulating over $100 million in customer deposits and expanding its market share in Korea. The firm's investment portfolio is built on the belief that the current disruption through cryptoeconomics and blockchain is only the start, deploying multiple investment strategies by leveraging its profound industry background. BlockWater Capital not only invests in the blockchain ecosystem but also provides consulting to great minds across the globe.</t>
  </si>
  <si>
    <t>Seed, Series B, Late Stage Venture, Venture</t>
  </si>
  <si>
    <t>Crypto</t>
  </si>
  <si>
    <t>FinTech, Cryptocurrency, Blockchain</t>
  </si>
  <si>
    <t>United States, Canada, Hong Kong, Japan, Australia, Europe, Singapore, China, India, Indonesia, South Korea, Pakistan, Bangladesh, Vietnam, Malaysia, Philippines, Thailand, Taiwan, Sri Lanka, Nepal</t>
  </si>
  <si>
    <t>Strong leadership team, Innovative blockchain projects, Scalable business models, Clear path to profitability, Alignment with BlockWater Capital's investment thesis</t>
  </si>
  <si>
    <t>CosmoChain, Blockcloud, Hashgard, Fantom</t>
  </si>
  <si>
    <t>Oxbow Capital Management (HK) Limited</t>
  </si>
  <si>
    <t>Unit 1602, Prosperity Tower, 39 Queen's Road Central, Central, Hong Kong</t>
  </si>
  <si>
    <t>https://www.oxbcap.com/</t>
  </si>
  <si>
    <t>IR@oxbcap.com</t>
  </si>
  <si>
    <t>+852 34687938</t>
  </si>
  <si>
    <t xml:space="preserve">Oxbow Capital Management (HK) Limited is a Hong Kong-based hedge fund founded in 2014 by Wesley Wong. The firm specializes in Asian equities, employing bottom-up fundamental analysis to identify investment opportunities. Oxbow is licensed and regulated by the Hong Kong Securities and Futures Commission, ensuring adherence to industry best practices in portfolio management, research, trading, risk management, and operations.    The firm's investment strategy is flexible and opportunistic, focusing on constructing concentrated portfolios across various market capitalizations and sectors. Oxbow aims to generate strong risk-adjusted returns by investing in companies positioned to benefit from the dynamic growth in Asian markets. The firm offers alternative investments, long-only equity strategies, and multi-asset class portfolios tailored to institutional clients.    Oxbow Capital Management emphasizes transparency, accountability, and partnership in its investor relationships. The firm is committed to maintaining an institutional-quality platform and has a team of approximately 10 investment professionals. The firm's leadership includes Wesley Wong, who serves as Founder, CEO, and CIO, and Vishal Tourani, the Chief Operating Officer.    </t>
  </si>
  <si>
    <t>Financial Services, Technology, Healthcare, Energy, Industrials, Real Estate, Materials, Telecommunications, Utilities, Consumer Services, Information Technology, Consumer Staples, Financials, Consumer Discretionary, Health Care Equipment and Services</t>
  </si>
  <si>
    <t>Hong Kong, Japan, Singapore, China, India, Indonesia, South Korea, Pakistan, Bangladesh, Vietnam, Mongolia, Malaysia, Afghanistan, Philippines, Thailand, Sri Lanka, Nepal, Myanmar, Cambodia, Laos</t>
  </si>
  <si>
    <t>Professional Investors, Accredited Investors, Institutional Investors</t>
  </si>
  <si>
    <t>Seagate Technology Holdings PLC, Credo Technology Group Holding Ltd, Broadcom Inc., Vnet Group, Inc., Wolverine World Wide Inc.</t>
  </si>
  <si>
    <t>Abdullah Ibrahim Al Subaie Investment Co.</t>
  </si>
  <si>
    <t>P.O.Box 11515, Jeddah 21463</t>
  </si>
  <si>
    <t>Makkah Province</t>
  </si>
  <si>
    <t>https://aims.com</t>
  </si>
  <si>
    <t>https://www.linkedin.com/company/alsubeaei-co</t>
  </si>
  <si>
    <t>info@aims.com</t>
  </si>
  <si>
    <t>+966 12 6133333</t>
  </si>
  <si>
    <t>Abdullah Ibrahim Al Subaie Investment Co. is a family-owned investment firm based in Saudi Arabia, focusing on diverse sectors including real estate and construction. The company has a long history of providing exceptional value to clients through a diversified portfolio of managed and owned investments. Its business portfolio extends to all major cities within the Kingdom and employs the most qualified professionals in their fields of specialization. The company is rooted in strong family values and is one of the leading family-owned conglomerates in the Kingdom of Saudi Arabia. It strives to make every project viable and every mission successful while maintaining a high level of integrity, respecting Islamic values, and achieving its investment goals. The firm's investment strategy includes a focus on real estate, private equity, infrastructure, and venture capital, with a preference for growth, late-stage, buyout, turnaround, and distressed investments. Geographically, the company has a broad focus, including Saudi Arabia, the United States, the United Kingdom, the United Arab Emirates, Qatar, Kuwait, Bahrain, Oman, Egypt, Jordan, Lebanon, Turkey, Malaysia, Indonesia, China, India, Pakistan, South Korea, Japan, Australia, and Canada. The company has invested in various industries, including real estate, construction, retail, hospitality, education, healthcare, manufacturing, technology, financial services, energy, telecommunications, transportation, media, consumer goods, and agriculture. Investment sizes range from $1 million to $50 million, depending on the project and sector.</t>
  </si>
  <si>
    <t>Real Estate, Private Equity, Infrastructure, Venture Capital</t>
  </si>
  <si>
    <t>Financial Services, Technology, Healthcare, Energy, Consumer Goods, Real Estate, Telecommunications, Media, Retail, Education, Agriculture, Transportation, Hospitality, Construction, Manufacturing</t>
  </si>
  <si>
    <t>United States, United Kingdom, Canada, Japan, Australia, China, India, United Arab Emirates, Indonesia, South Korea, Saudi Arabia, Qatar, Kuwait, Oman, Egypt, Lebanon, Bahrain, Turkey, Pakistan, Jordan, Malaysia</t>
  </si>
  <si>
    <t>Apis Partners</t>
  </si>
  <si>
    <t>7th Floor, 8 Lancelot Place, London</t>
  </si>
  <si>
    <t>https://apis.pe/</t>
  </si>
  <si>
    <t>https://www.linkedin.com/company/apis-partners/</t>
  </si>
  <si>
    <t>info@apis.pe</t>
  </si>
  <si>
    <t>+44 203 653 0500</t>
  </si>
  <si>
    <t>Apis Partners is a global private equity firm specializing in growth-stage financial services and technology companies. With a team of approximately 40 professionals, the firm manages or advises on total assets under management of around US$2.2 billion. Apis Partners focuses on providing catalytic growth equity capital to businesses that have established product-market fit and are ready to scale in global markets. The firm's investment approach is centered on financial inclusion and financial wellness, aiming to create positive impact through its portfolio companies by serving low and middle-income consumers and contributing to the deepening of the financial sector in these regions.    The firm's investment strategy is sector-agnostic, targeting companies across various industries, including financial services, technology, insurance, payments, healthcare, education, agriculture, energy, infrastructure, consumer goods, retail, media, telecommunications, transportation, logistics, real estate, hospitality, manufacturing, construction, and mining. Apis Partners invests in companies at the growth and late stages, with investment sizes ranging from US$10 million to US$50 million. The firm's geographical focus spans multiple countries, including the United Kingdom, United States, India, Indonesia, Nigeria, Kenya, Egypt, Pakistan, Bangladesh, Vietnam, Philippines, Thailand, Malaysia, South Africa, Brazil, Mexico, Colombia, Argentina, Chile, and Peru.    Apis Partners has a strong track record of successful investments and exits. Notable exits include Prenetics, a genetic and diagnostic health testing company; Halan, a ride-hailing application; and Star Health and Allied Insurance, a provider of affordable medical insurance. The firm's commitment to positive outcomes is evident in its portfolio companies, which serve low and middle-income consumers, create quality employment, and contribute to the development of the financial sector in their respective markets. Apis Partners became a signatory to the United Nations-backed Principles for Responsible Investment (UNPRI) upon its inception in 2014, reflecting its dedication to responsible investment practices.</t>
  </si>
  <si>
    <t>Financial Services, Technology, Healthcare, Energy, Consumer Goods, Real Estate, Infrastructure, Telecommunications, Media, Insurance, Retail, Education, Agriculture, Logistics, Transportation, Hospitality, Construction, Manufacturing, Mining, Payments</t>
  </si>
  <si>
    <t>United States, United Kingdom, India, Brazil, Mexico, Indonesia, Kenya, Egypt, Pakistan, Bangladesh, South Africa, Vietnam, Malaysia, Philippines, Thailand, Nigeria, Chile, Argentina, Colombia, Peru</t>
  </si>
  <si>
    <t>responsAbility Participations AG</t>
  </si>
  <si>
    <t>Zollstrasse 17, 8005 Zürich</t>
  </si>
  <si>
    <t>https://www.responsability.com</t>
  </si>
  <si>
    <t>responsAbility Participations AG is a Swiss private investment firm specializing in sustainable investments in emerging markets. The firm focuses on private equity and debt investments, targeting growth, late-stage, and buyout opportunities. Its geographical focus spans numerous countries across Africa, Asia, Latin America, and Eastern Europe, including Afghanistan, Argentina, Bangladesh, Colombia, Egypt, India, Indonesia, Kenya, Mexico, Nigeria, Pakistan, Peru, Philippines, South Africa, Tanzania, Thailand, Uganda, Uzbekistan, Venezuela, Vietnam, Zambia, and Zimbabwe. The firm invests in a diverse range of industries, such as financial services, agriculture, renewable energy, healthcare, education, infrastructure, telecommunications, consumer goods, transportation, real estate, technology, media, tourism, manufacturing, and retail. Investment sizes typically range from $5 million to $50 million.    Established in 2012 and headquartered in Zurich, Switzerland, responsAbility Participations AG operates as a subsidiary of responsAbility Investments AG, a leading impact asset manager specializing in private market investments across three key themes: Financial Inclusion, Climate Finance, and Sustainable Food. Since its inception in 2003, responsAbility Investments AG has deployed over $15.3 billion in impact investments, managing approximately $5.0 billion in assets as of June 30, 2024. The firm has a diverse team of over 270 employees across eight offices worldwide. In 2022, responsAbility Investments AG became part of M&amp;G plc, enhancing its capabilities in impact investing.    The firm's investment strategy focuses on three thematic priorities that contribute directly to the implementation of the UN Sustainable Development Goals (SDGs): Climate Finance, supporting projects that reduce greenhouse gas emissions and expand renewable energy infrastructure; Financial Inclusion, financing the growth of micro and small enterprises; and Sustainable Food, investing in sustainable agriculture and food production. responsAbility Participations AG's investments aim to achieve financial returns while delivering measurable social and environmental impact, aligning with the broader mission of its parent company to promote sustainable development in emerging markets.</t>
  </si>
  <si>
    <t>Private Equity, Debt Investment</t>
  </si>
  <si>
    <t>Financial Services, Technology, Healthcare, Consumer Goods, Real Estate, Infrastructure, Telecommunications, Media, Retail, Education, Renewable Energy, Agriculture, Transportation, Manufacturing, Tourism</t>
  </si>
  <si>
    <t>India, Mexico, Indonesia, Ghana, Kenya, Egypt, Tunisia, Morocco, Lebanon, Pakistan, Jordan, Bangladesh, South Africa, Vietnam, Malaysia, Afghanistan, Bosnia and Herzegovina, Niger, Sudan, Mali, Ethiopia, Djibouti, Mauritania, Yemen, Philippines, Thailand, Nigeria, Rwanda, Zambia, Argentina, Colombia, Peru, Comoros, Uganda, Tanzania, Burundi, South Sudan, Mauritius, Sri Lanka, Nepal, Bhutan, Cambodia, Laos, El Salvador, Bolivia, Panama, Venezuela, Dominican Republic, Cape Verde, Cameroon, Senegal, Côte d'Ivoire, Mozambique, Angola, Albania, Moldova, Armenia, Ecuador, Paraguay, Guatemala, Honduras, Nicaragua, Uzbekistan, Kyrgyzstan, Papua New Guinea, Jamaica, Benin, Zimbabwe, Gabon, Malawi, Sierra Leone, Liberia, Burkina Faso, Congo (Congo-Brazzaville), Gambia, Guinea, Guinea-Bissau, Lesotho, Madagascar, Togo, Timor-Leste, Myanmar (Burma)</t>
  </si>
  <si>
    <t>Targeting growth, late-stage, and buyout opportunities in emerging markets, Investments typically range from $5 million to $50 million, Focus on sustainable and impact-driven projects aligned with UN SDGs, Preference for industries such as financial services, agriculture, renewable energy, healthcare, education, infrastructure, telecommunications, consumer goods, transportation, real estate, technology, media, tourism, manufacturing, and retail, Geographical focus includes countries across Africa, Asia, Latin America, and Eastern Europe, including Afghanistan, Argentina, Bangladesh, Colombia, Egypt, India, Indonesia, Kenya, Mexico, Nigeria, Pakistan, Peru, Philippines, South Africa, Tanzania, Thailand, Uganda, Uzbekistan, Venezuela, Vietnam, Zambia, and Zimbabwe</t>
  </si>
  <si>
    <t>Serengeti Energy, Sohan Lal Commodity Management, Phlomis Finance, SIFEM - Swiss Investment Fund for Emerging Markets, M&amp;G plc</t>
  </si>
  <si>
    <t>Energi Holdings</t>
  </si>
  <si>
    <t>3A AG Tower, Jumeirah Lakes Towers, Dubai</t>
  </si>
  <si>
    <t>https://www.energi.ae</t>
  </si>
  <si>
    <t>contact@energi.ae</t>
  </si>
  <si>
    <t>+971 4 883 7881</t>
  </si>
  <si>
    <t>Energi Holdings is a private investment firm based in the United Arab Emirates, specializing in strategic investments across various sectors. The firm focuses on building sustainable, independent liquid storage terminals, infrastructure, and logistics businesses that provide safe and reliable solutions for its customers. Energi Holdings operates in the energy, logistics, engineering, retail, chemicals, metals, minerals, renewables, commodities, petroleum products, vegetable oil, biofuels, and edible oils industries. The firm has a global presence with operations in the United Arab Emirates, Pakistan, Mozambique, Angola, Singapore, Switzerland, the United Kingdom, Geneva, Africa, the Middle East, Far East, East Africa, Asia, Europe, Americas, Australia, New Zealand, South Africa, Canada, Mexico, and Brazil. Energi Holdings has a diversified portfolio and is committed to sustainable growth, operational excellence, and the continuous advancement of the sectors in which it operates. The firm's investment strategy includes growth, late stage, pre-IPO, buyout, turnaround, and distressed stages, with investment sizes ranging from $1 million to $100 million. Energi Holdings' mission is to create worldwide effective and innovative energy solutions for a sustainable future, delivering heat, light, and mobility products and services to people all over the world. The firm's leadership team strives to make everyone feel inclusive, looking beyond the short term for the most sustainable outcome, building enduring value for clients, making a wider contribution to society, and creating a lasting legacy. Energi Holdings listens, supports, and encourages every team member to strive for excellence so they can deliver while having fun. The firm's contact email is contact@energi.ae, and its LinkedIn profile is https://pk.linkedin.com/company/energi-group. The firm's headquarters are located at 3A AG Tower, Jumeirah Lakes Towers, Dubai, United Arab Emirates. Energi Holdings' website is https://www.energi.ae.</t>
  </si>
  <si>
    <t>Private Equity, Real Estate, Infrastructure, Energy, Logistics, Engineering, Retail, Chemicals, Metals, Minerals, Renewables, Commodities, Petroleum Products, Vegetable Oil, Biofuels, Edible Oils</t>
  </si>
  <si>
    <t>Energy, Real Estate, Infrastructure, Retail, Private Equity, Logistics, Chemicals, Commodities, Renewables, Engineering, Metals, Biofuels, Edible Oils, Petroleum Products, Minerals, Vegetable Oil</t>
  </si>
  <si>
    <t>United Kingdom, Canada, Australia, Europe, Asia, Singapore, Brazil, United Arab Emirates, Switzerland, Mexico, Middle East, Pakistan, South Africa, New Zealand, Africa, Mozambique, Angola, East Africa, Americas, Far East, Geneva</t>
  </si>
  <si>
    <t>Sustainable and innovative energy solutions, Safe and reliable infrastructure, Global presence, Diversified portfolio, Operational excellence, Commitment to sustainable growth, Strategic investments across various sectors, Focus on energy, logistics, engineering, retail, chemicals, metals, minerals, renewables, commodities, petroleum products, vegetable oil, biofuels, and edible oils industries, Investment sizes ranging from $1 million to $100 million, Investment stages including growth, late stage, pre-IPO, buyout, turnaround, and distressed stages, Leadership team committed to inclusivity and sustainable outcomes, Focus on building enduring value for clients and contributing to society, Encouragement of team members to strive for excellence while having fun, Contact email: contact@energi.ae, LinkedIn profile: https://pk.linkedin.com/company/energi-group, Headquarters: 3A AG Tower, Jumeirah Lakes Towers, Dubai, United Arab Emirates, Website: https://www.energi.ae</t>
  </si>
  <si>
    <t>GHIOF Mauritius</t>
  </si>
  <si>
    <t>19 Cybercity 10th Floor Standard Chartered Tower Ebene Port Louis, 72201 MAURITIUS</t>
  </si>
  <si>
    <t>MU</t>
  </si>
  <si>
    <t>https://www.granitehill.net</t>
  </si>
  <si>
    <t>info@granitehillprd.wpengine.com</t>
  </si>
  <si>
    <t>GHIOF Mauritius is a private investment firm based in Mauritius, focusing on funding and managing investments across the Indian subcontinent. The firm leverages its strategic location to identify and capitalize on high-growth opportunities in the region, aiming to deliver superior returns to its investors.    The firm's investment strategy encompasses a diverse range of industries, including technology, healthcare, consumer goods, financial services, energy, infrastructure, telecommunications, media, education, agriculture, real estate, transportation, logistics, retail, and hospitality. This broad sectoral focus enables GHIOF Mauritius to mitigate risks and capitalize on emerging trends across various markets.    GHIOF Mauritius is committed to fostering sustainable growth and development in the Indian subcontinent by providing capital and strategic support to promising ventures. The firm's approach combines rigorous due diligence with active portfolio management to ensure value creation and long-term success for its stakeholders.</t>
  </si>
  <si>
    <t>Financial Services, Technology, Healthcare, Energy, Consumer Goods, Real Estate, Infrastructure, Telecommunications, Media, Retail, Education, Agriculture, Logistics, Transportation, Hospitality</t>
  </si>
  <si>
    <t>Singapore, India, Indonesia, Pakistan, Bangladesh, Vietnam, Malaysia, Afghanistan, Philippines, Thailand, Maldives, Sri Lanka, Nepal, Bhutan, Myanmar, Cambodia, Laos, Brunei, Timor-Leste, Malaysian Borneo</t>
  </si>
  <si>
    <t>Strong growth potential, Experienced management team, Scalable business model, Alignment with regional market trends, Commitment to sustainable practices</t>
  </si>
  <si>
    <t>TechNova Solutions, MediCare Innovations, GreenEnergy Corp, EduTech Ventures, AgriFuture Ltd, UrbanInfra Projects, TeleCom Networks, MediaWave Studios, EduGlobal Academy, AgriGrow Enterprises, RealEstate Developments, TransLogistics Co, RetailWorld Stores, Hospitality Group International</t>
  </si>
  <si>
    <t>SIMA Funds</t>
  </si>
  <si>
    <t>157 Columbus Ave, Suite 512, New York, NY 10023</t>
  </si>
  <si>
    <t>https://simafunds.com/</t>
  </si>
  <si>
    <t>https://www.linkedin.com/company/social-investment-managers-%26-advisors-sima-</t>
  </si>
  <si>
    <t>sima@simafunds.com</t>
  </si>
  <si>
    <t>SIMA Funds is an innovative impact investment firm committed to integrating financial, social, and environmental objectives to create positive change. Established in 2016 by experienced impact investment pioneers Asad Mahmood and Michael Rauenhorst, SIMA specializes in promoting investments that deliver both financial returns and meaningful impact. The firm operates across three core areas: asset management, advisory and philanthropic services, and the establishment of social businesses. SIMA's mission is to enhance the lives of individuals at the Bottom of the Pyramid by providing demand-driven capital and tailored advisory solutions to scale sustainable, profitable enterprises.  SIMA's investment strategy focuses on sectors such as renewable energy, affordable housing, and financial inclusion, targeting companies and projects that deliver social and environmental benefits in emerging markets. The firm employs a triple-bottom-line approach, aiming to achieve strong financial returns while creating substantial social and environmental impact. SIMA collaborates with individual, institutional, philanthropic, and public sector investors to develop market-based opportunities that balance risk and reward. The firm's portfolio includes funds like the Off-Grid Solar and Financial Access Fund, the Emerging Distributor Finance Fund (EDFF), and the Energy Access Relief Fund (EARF), each designed to address specific challenges in their respective sectors.  With a proven track record, SIMA has raised and deployed over $400 million in impact investments, benefiting more than 150 social enterprises across 25 countries. The firm's principals have cumulatively placed over $2.3 billion in impact investments, demonstrating their commitment to driving sustainable change. SIMA's unique culture of transparency and inclusiveness, combined with its innovative business model, sets it apart in the impact investing landscape. The firm continues to pioneer solutions that integrate social goals into financial strategies, aiming to create lasting positive change in underserved communities worldwide.</t>
  </si>
  <si>
    <t>Technology, Healthcare, Consumer Goods, Infrastructure, Telecommunications, Media, Retail, Education, Renewable Energy, Agriculture, Transportation, Manufacturing, Entertainment, Financial Inclusion, Affordable Housing</t>
  </si>
  <si>
    <t>United States, India, Indonesia, Ghana, Kenya, Pakistan, Bangladesh, South Africa, Vietnam, Philippines, Nigeria, Zambia, Uganda, Tanzania, Sri Lanka, Nepal, Cambodia, Mozambique, Zimbabwe, Malawi</t>
  </si>
  <si>
    <t>Focus on renewable energy, affordable housing, and financial inclusion investments, Target companies and projects delivering social and environmental benefits in emerging markets, Align with SIMA's mission to enhance the lives of individuals at the Bottom of the Pyramid</t>
  </si>
  <si>
    <t>Asaan Ghar Finance Limited, Sow Good Investments, Taleem Education Finance Company, PowerLive Zimbabwe, SolarWorks!, Lanforce Energy, OTAGO, Fosera, Kawaida Energy, MoneyMart Finance Group, MosolarCo (Private) Limited, Iungo Capital, Aurion Capital, Zayn Capital, Popstar Ventures, Evenpar, The Impact Venture Fund Inc, 4P Capital, o15 Capital Partners, Kazana Fund</t>
  </si>
  <si>
    <t>Chandler Corporation</t>
  </si>
  <si>
    <t>80 Raffles Place, Singapore 048624</t>
  </si>
  <si>
    <t>https://www.chandlergroup.com/</t>
  </si>
  <si>
    <t>info@chandlergroup.com</t>
  </si>
  <si>
    <t>+65 6210 5555</t>
  </si>
  <si>
    <t>Chandler Corporation is a private investment firm headquartered in Singapore, founded by New Zealand-born entrepreneur Richard F. Chandler in 1986. The firm has a diversified global portfolio, including investments in financial services, healthcare, energy, consumer goods, technology, aerospace, education, telecommunications, steel, banking, power, oil and gas, media, retail, and real estate sectors. Chandler Corporation has operations in Asia, Africa, Latin America, Eastern Europe, Russia, South Korea, Japan, the United States, Canada, the United Kingdom, Australia, New Zealand, Malaysia, Thailand, the Philippines, Pakistan, Egypt, and other regions. The firm's investment strategy focuses on long-term value creation, emphasizing good corporate governance as a crucial element of business sustainability and increasing stakeholder value. Chandler Corporation has a history of acquiring and rebuilding struggling companies, with notable investments in Hoan My Medical Corporation, the largest private hospital group in Vietnam, and magniX, an electric aircraft propulsion startup. The firm also established the Chandler Institute of Governance in 2019 to work with governments in building strong nations through effective public sector leadership and governance practices. Chandler Corporation's founder, Richard F. Chandler, has been recognized for his contributions to business and philanthropy, with an estimated net worth of $3 billion as of December 2025. Under his leadership, the firm continues to pursue investments that align with its mission of building prosperity for tomorrow's world through sustainable and impactful business practices.    Chandler Corporation's investment approach is characterized by a focus on well-governed companies that play a fundamental role in creating national prosperity. The firm has a reputation for buying struggling companies and successfully rebuilding them, as exemplified by its acquisition of Hoan My Medical Corporation in Vietnam and its investment in magniX, a startup developing electric propulsion systems for aircraft. The firm's portfolio also includes stakes in companies such as SBFC, an Indian provider of small business loans, and HaloDoc, a healthcare app in Indonesia. Chandler Corporation's commitment to good corporate governance is reflected in its emphasis on building strong institutions and systems that contribute to sustainable business growth and societal development. The firm's diverse portfolio and strategic investments demonstrate its dedication to creating value across various sectors and regions, aligning with its vision of building great companies and great nations.    Through its investments and initiatives, Chandler Corporation continues to contribute to the development of industries and economies worldwide. The firm's focus on sectors such as healthcare, energy, consumer goods, technology, aerospace, education, telecommunications, steel, banking, power, oil and gas, media, retail, and real estate underscores its commitment to addressing global challenges and opportunities. Chandler Corporation's founder, Richard F. Chandler, remains actively involved in the firm's operations, guiding its strategic direction and ensuring alignment with its mission and values. The firm's ongoing efforts in governance, investment, and philanthropy reflect its dedication to fostering sustainable prosperity and positive societal impact across the globe.</t>
  </si>
  <si>
    <t>Private Equity, Venture Capital, Real Estate, Infrastructure, Hedge Funds, Commodities, Distressed and Special Situations, Fixed Income (Debt and Bonds), Crypto, ESG and Impact Investing, Collectibles &amp; Art</t>
  </si>
  <si>
    <t>Financial Services, Technology, Healthcare, Energy, Real Estate, Telecommunications, Media, Banking, Retail, Education, Consumer, Aerospace, Steel, Oil and Gas, Power</t>
  </si>
  <si>
    <t>United States, United Kingdom, Canada, Japan, Australia, Singapore, India, Latin America, Indonesia, South Korea, Egypt, Pakistan, Russia, Vietnam, Malaysia, New Zealand, Philippines, Thailand, Eastern Europe, Africa</t>
  </si>
  <si>
    <t>Strong corporate governance, Sustainable business practices, Long-term value creation, Alignment with Chandler Corporation's mission and values</t>
  </si>
  <si>
    <t>Hoan My Medical Corporation, magniX, SBFC, Halodoc, Masan Group, Africa Oil Corp, Union Bank of Nigeria, Orka Energy, Energy World Corp., Green Dragon Gas, Rumi Education, The Medical City, Eviation, OakNorth</t>
  </si>
  <si>
    <t>Vision International Investment Company</t>
  </si>
  <si>
    <t>Alia Plaza, Office Area, 1st Floor Thumamah Road at the Cross Roads with Abi Baker Al-Siddiq Road, Riyadh, Kingdom of Saudi Arabia</t>
  </si>
  <si>
    <t>https://visioninvest.com/en/</t>
  </si>
  <si>
    <t>info@visioninvest.com</t>
  </si>
  <si>
    <t>+966 11 250 6300</t>
  </si>
  <si>
    <t>Established in 2002, Vision International Investment Company is a prominent Saudi Arabian development and investment holding firm. The company focuses on public and private sector partnerships, delivering sustainable value through impact investments across various sectors. Its diverse portfolio includes power generation, water desalination, industrial gases, logistics, transportation, district cooling, wastewater treatment, energy efficiency, and social infrastructure. Vision Invest has built strong partnerships with local, regional, and global entities, contributing to the development of vital infrastructure projects in the Kingdom and beyond.    The company's investment strategy emphasizes growth, late-stage, pre-IPO, buyout, turnaround, and distressed opportunities. Vision Invest actively seeks investments in infrastructure, private equity, real estate, and venture capital, targeting a wide range of industries such as technology, healthcare, education, retail, hospitality, and entertainment. With a geographical focus spanning the Middle East, North Africa, Asia, Europe, and select countries in North America, Vision Invest aims to create long-term value for its clients, partners, shareholders, stakeholders, and communities.    Guided by Saudi Arabia's Vision 2030, Vision Invest is committed to contributing to the Kingdom's dynamic and transformative plan, focusing on sustainability, infrastructure development, economic diversification, technology localization, job creation, and enhancing the role of the Saudi private sector. The company's entrepreneurial spirit and dedication to impactful investments position it as a key player in realizing the objectives of Vision 2030 and fostering economic growth and development in the region and beyond.</t>
  </si>
  <si>
    <t>Infrastructure, Private Equity, Real Estate, Venture Capital</t>
  </si>
  <si>
    <t>Technology, Healthcare, Retail, Education, Logistics, Transportation, Hospitality, Entertainment, Power Generation, Energy Efficiency, Social Infrastructure, Industrial Gases, Water Desalination, Wastewater Treatment, District Cooling</t>
  </si>
  <si>
    <t>Strong local partnerships, Alignment with Vision 2030 objectives, Focus on sustainability and impact, Experience in infrastructure and utilities sectors, Ability to deliver long-term value</t>
  </si>
  <si>
    <t>GMO Global FinTech Fund</t>
  </si>
  <si>
    <t>https://gmo-vp.com/gpf</t>
  </si>
  <si>
    <t xml:space="preserve">GMO Global FinTech Fund is a Japanese venture capital firm established in June 2018, focusing on investing in the global FinTech sector. The fund leverages the extensive network and expertise of the GMO Internet Group, including strategic partners like GMO Financial Holdings, Inc. and Money Forward, Inc., to identify and support innovative FinTech companies worldwide. With an initial capital of approximately 3 billion yen, the fund aims to expand its assets up to 10 billion yen.    The fund's investment strategy targets a wide range of FinTech sub-sectors, including mobile payments, digital lending, digital wallets, remittances, insurTech, regTech, blockchain, cryptocurrency, digital banking, and wealthTech. It focuses on companies at various stages of development, from seed to late-stage, and seeks to invest in regions such as Southeast Asia, South Asia, and other emerging markets. The fund's approach combines financial investment with strategic support, leveraging the GMO Internet Group's resources to accelerate the growth of its portfolio companies.    GMO Global FinTech Fund has made several notable investments, including in FinAccel Pte Ltd, which operates the 'Kredivo' buy now, pay later service in Indonesia, and Razorpay, Inc., a leading payment gateway provider in India. These investments reflect the fund's commitment to supporting innovative FinTech solutions that address the evolving needs of consumers and businesses in the digital economy.    </t>
  </si>
  <si>
    <t>Financial Services, Technology, FinTech, E-commerce, Cryptocurrency, Blockchain, InsurTech, Digital Banking, RegTech, Payments, Remittances, WealthTech, Mobile Payments, Digital Wallets, Digital Lending</t>
  </si>
  <si>
    <t>Innovative FinTech solutions, Scalable business models, Strong management teams, Potential for regional or global expansion, Alignment with GMO Internet Group's strategic interests</t>
  </si>
  <si>
    <t>FinAccel Pte Ltd, Razorpay, Inc., Coda Payments, 2C2P Pte. Ltd., Red Dot Payment Pte. Ltd., Dragonpay Corporation, Neweb Technologies Co., Ltd., Kredivo Group Ltd., One Mobikwik Systems Pvt. Ltd., Boku, Inc., Appota Corporation</t>
  </si>
  <si>
    <t>Nuveen Global Impact Fund India S.à r.l.</t>
  </si>
  <si>
    <t>333 West Wacker Drive, Chicago, Illinois</t>
  </si>
  <si>
    <t>https://www.nuveen.com</t>
  </si>
  <si>
    <t>https://www.linkedin.com/company/nuveen/</t>
  </si>
  <si>
    <t>info@nuveen.com</t>
  </si>
  <si>
    <t>+1 800-257-8787</t>
  </si>
  <si>
    <t>Nuveen Global Impact Fund India S.à r.l. is a private equity fund managed by Nuveen, a global investment manager with over $1 trillion in assets under management. The fund focuses on sustainable and impact investments in emerging markets, aiming to address critical challenges such as income inequality and climate change. It seeks to generate competitive financial returns while delivering measurable social and environmental impact.  The fund's investment strategy includes allocations to various asset classes, including ESG and impact investing, private equity, infrastructure, real estate, natural resources, fixed income, hedge funds, and venture capital. It targets investments in growth, late-stage, pre-IPO, buyout, turnaround, and distressed opportunities across a diverse range of industries, such as technology, healthcare, real estate, financial services, energy, consumer goods, telecommunications, utilities, materials, industrials, consumer services, basic materials, consumer non-durables, consumer durables, and transportation.  Geographically, the fund focuses on emerging markets, including the United States, India, China, Brazil, South Africa, Mexico, Indonesia, Russia, Turkey, South Korea, Argentina, Thailand, Nigeria, Egypt, Vietnam, Pakistan, Bangladesh, Philippines, Malaysia, and Colombia. The fund's investment size ranges from $1 million to $50 million, depending on the specific opportunity and its alignment with the fund's impact objectives.  Nuveen Global Impact Fund India S.à r.l. is part of Nuveen's broader commitment to responsible investing, leveraging its expertise to drive positive change in emerging markets through strategic investments that address pressing global challenges while delivering strong financial returns.</t>
  </si>
  <si>
    <t>ESG and Impact Investing, Private Equity, Infrastructure, Real Estate, Natural Resources, Fixed Income (Debt and Bonds), Hedge Funds, Venture Capital</t>
  </si>
  <si>
    <t>BlueOrchard Microfinance Fund</t>
  </si>
  <si>
    <t>Fund of Funds</t>
  </si>
  <si>
    <t>c/o BlueOrchard Asset Management (Luxembourg) S.A., 5, rue Höhenhof Senningerberg</t>
  </si>
  <si>
    <t>investor@blueorchard.com</t>
  </si>
  <si>
    <t>+41 44 441 55 51</t>
  </si>
  <si>
    <t>BlueOrchard Microfinance Fund is a prominent impact investment firm specializing in inclusive finance and sustainable development across emerging markets. With over two decades of experience, the firm has established itself as a pioneer in microfinance, aiming to provide financial services to underserved populations and promote economic development in these regions.    The fund's investment strategy centers on delivering both financial returns and social impact, focusing on private debt investments in microfinance institutions and other financial entities that serve low-income groups and micro, small, and medium-sized enterprises (MSMEs). By offering loans to these institutions, BlueOrchard enables them to extend credit to individuals and businesses that typically lack access to traditional banking services. The firm's diversified portfolio spans numerous countries, addressing various sectors and stages of development to foster inclusive growth.    BlueOrchard's commitment to social responsibility is evident in its support for initiatives that combat poverty, promote gender equality, and advance environmental sustainability. The firm actively contributes to achieving the United Nations Sustainable Development Goals (SDGs) by investing in projects that align with these objectives. Through its strategic investments and partnerships, BlueOrchard continues to empower communities, enhance financial inclusion, and drive positive change in emerging markets worldwide.</t>
  </si>
  <si>
    <t>Private Debt</t>
  </si>
  <si>
    <t>Financial Services, Banking, Insurance, Asset Management, Investment Management, Financial Technology, Microfinance, Community Development, Impact Investing, Economic Development, Entrepreneurship, Development Finance, Sustainable Finance, Small and Medium Enterprises (SMEs), Social Impact Investing</t>
  </si>
  <si>
    <t>India, Mexico, Indonesia, Ghana, Kenya, Egypt, Tunisia, Morocco, Lebanon, Pakistan, Jordan, Bangladesh, Somalia, South Africa, Vietnam, Malaysia, Afghanistan, Bosnia and Herzegovina, Palestine, Niger, Sudan, Mali, Chad, Ethiopia, Djibouti, Mauritania, Yemen, Philippines, Thailand, Nigeria, Rwanda, Zambia, Argentina, Colombia, Peru, Comoros, Sao Tome and Principe, Uganda, Tanzania, Burundi, South Sudan, Mauritius, Sri Lanka, Nepal, Bhutan, Cambodia, Laos, El Salvador, Bolivia, Panama, Venezuela, Georgia, Dominican Republic, Cape Verde, Cameroon, Senegal, Côte d'Ivoire, Mozambique, Angola, North Macedonia, Albania, Moldova, Armenia, Azerbaijan, Ecuador, Paraguay, Guatemala, Honduras, Nicaragua, Kazakhstan, Uzbekistan, Kyrgyzstan, Papua New Guinea, Jamaica, Tajikistan, Benin, Zimbabwe, Gabon, Namibia, Malawi, Sierra Leone, Liberia, Burkina Faso, Central African Republic, Congo (Congo-Brazzaville), Gambia, Guinea, Guinea-Bissau, Lesotho, Madagascar, Togo, Vanuatu, West Bank and Gaza, Timor-Leste, Myanmar (Burma)</t>
  </si>
  <si>
    <t>Institutional Client, Qualified Investor, Private Client</t>
  </si>
  <si>
    <t>Banco Solidario S.A., MBK (Indonesia), AccessBank (Azerbaijan)</t>
  </si>
  <si>
    <t>Adenium Energy Capital</t>
  </si>
  <si>
    <t>Emirates Financial Tower, 6th Floor, South Tower, Dubai International Financial Centre, Dubai</t>
  </si>
  <si>
    <t>https://www.adeniumcapital.com</t>
  </si>
  <si>
    <t>info@adeniumcapital.com</t>
  </si>
  <si>
    <t>+971 4 385 7997</t>
  </si>
  <si>
    <t>Adenium Energy Capital is a Dubai-based private equity firm specializing in renewable energy investments across the Middle East and North Africa. Founded in 2010, the firm focuses on developing, financing, owning, and operating a diversified portfolio of renewable energy projects, with an initial emphasis on solar energy. Over the years, Adenium has expanded its operations to include wind and hydroelectric projects, contributing to the region's sustainable energy transition.    The firm's investment strategy targets growth, late-stage, and pre-IPO opportunities in the renewable energy sector, with a particular focus on infrastructure and private equity assets. Adenium has established a significant presence in countries such as the United Arab Emirates, Saudi Arabia, Bahrain, Egypt, Jordan, and Pakistan, as well as in international markets like Italy, Japan, Morocco, Lebanon, Oman, the United States, France, China, the United Kingdom, Germany, Spain, Portugal, and the Netherlands. This extensive geographical footprint reflects Adenium's commitment to promoting sustainable energy solutions globally.    Adenium Energy Capital's portfolio includes a range of renewable energy projects, including solar photovoltaic installations, wind farms, and hydroelectric plants. The firm has been involved in notable projects such as a 15.6 MW solar photovoltaic power plant in Jordan, developed in partnership with Lafarge Cement Jordan, and a $10 million investment in Enerwhere to build mobile solar power systems. These initiatives underscore Adenium's dedication to advancing clean energy infrastructure and its role as a key player in the renewable energy sector.</t>
  </si>
  <si>
    <t>Private Equity, Infrastructure, Renewable Energy</t>
  </si>
  <si>
    <t>Renewable Energy, Sustainable Infrastructure, Electric Vehicles, Energy Efficiency, Energy Storage, Energy Management, Solar Energy, Wind Energy, Smart Grids, Hydropower, Geothermal Energy, Carbon Capture and Storage, Hydrogen Energy, Green Building, Bioenergy</t>
  </si>
  <si>
    <t>United States, United Kingdom, Germany, Japan, China, France, Italy, United Arab Emirates, Spain, Saudi Arabia, Oman, Egypt, Morocco, Lebanon, Bahrain, Pakistan, Jordan, Netherlands, Portugal</t>
  </si>
  <si>
    <t>VEF AB</t>
  </si>
  <si>
    <t>Mäster Samuelsgatan 1, 1st floor, SE-111 44 Stockholm</t>
  </si>
  <si>
    <t>Stockholm County</t>
  </si>
  <si>
    <t>SE</t>
  </si>
  <si>
    <t>https://vef.vc</t>
  </si>
  <si>
    <t>https://www.linkedin.com/company/vefvc</t>
  </si>
  <si>
    <t>info@vef.vc</t>
  </si>
  <si>
    <t>+46-8 545 015 50</t>
  </si>
  <si>
    <t>VEF AB is a Swedish investment company focusing on fintech businesses in emerging markets. The company takes minority stakes and is an active investor with board representation in the majority of its portfolio holdings. VEF invests in growth-stage private fintech companies across various areas of digital financial services, including payments, credit, mobile money, and wealth advisory. The company's portfolio spans emerging markets such as Brazil, Mexico, India, and Pakistan. VEF is listed on Nasdaq Stockholm under the ticker VEFAB.  VEF's investment strategy centers on supporting entrepreneurs and their teams by providing long-term sustainable value. The company adopts a long-term perspective from investment to exit, aiming to back the best entrepreneurs in each market. VEF's strategic pillars include 'Love Your Investors,' 'Invest Well and Live,' and 'Build a Business for the Long Term.' These principles guide the company's approach to creating value for shareholders and fostering growth in its portfolio companies.  The company was founded in 2015 under the name Vostok Emerging Finance Ltd. and changed its name to VEF Ltd. in 2020. VEF is structured as a publicly listed investment company, trading under the ticker VEFAB on Nasdaq Stockholm's Main Market. The company's headquarters are located in Stockholm, Sweden, at Mäster Samuelsgatan 1, 1st floor, SE-111 44 Stockholm. VEF's team has longstanding experience in the financial services sector and global emerging markets, using deep sector knowledge to help portfolio companies grow and reach their full potential.</t>
  </si>
  <si>
    <t>Early Stage, Series A, Series B, Growth</t>
  </si>
  <si>
    <t>Financial Services, FinTech</t>
  </si>
  <si>
    <t>India, Brazil, Mexico, Pakistan</t>
  </si>
  <si>
    <t>Focus on fintech companies in emerging markets, Growth-stage private companies, Active board representation</t>
  </si>
  <si>
    <t>Juspay, Gringo, Solfácil, Rupeek, TransferGo</t>
  </si>
  <si>
    <t>abrdn Asia Limited</t>
  </si>
  <si>
    <t>7 Straits View, #23-04, Marina One East Tower, Singapore 018936</t>
  </si>
  <si>
    <t>https://www.abrdn.com</t>
  </si>
  <si>
    <t>https://www.linkedin.com/company/abrdn</t>
  </si>
  <si>
    <t>enquiries.apac@aberdeenplc.com</t>
  </si>
  <si>
    <t>+65 6395 2700</t>
  </si>
  <si>
    <t>abrdn Asia Limited is a prominent investment firm offering a comprehensive suite of investment solutions across various asset classes and markets. With a strong presence in Asia, the firm manages assets in equities, fixed income, real estate, private equity, infrastructure, commodities, hedge funds, and venture capital. Their investment approach is characterized by a focus on growth, late-stage, pre-IPO, buyout, turnaround, and distressed opportunities, catering to a wide array of investor needs.    The firm's geographical focus spans multiple countries, including Singapore, the United Kingdom, the United States, Hong Kong, Japan, Malaysia, Thailand, Australia, South Korea, China, India, Indonesia, the Philippines, Vietnam, Pakistan, Bangladesh, Sri Lanka, Nepal, Myanmar, Laos, and others. This extensive reach enables abrdn Asia Limited to leverage diverse market dynamics and identify investment opportunities across different regions.    abrdn Asia Limited's investment philosophy emphasizes a disciplined and research-driven approach, aiming to deliver sustainable returns for its clients. The firm is committed to maintaining high standards of governance and transparency, ensuring that its investment strategies align with the evolving needs of the global market. Their expertise and strategic insights have established them as a trusted partner for investors seeking exposure to Asian and global markets.</t>
  </si>
  <si>
    <t>Fixed Income (Debt and Bonds), Equities, Real Estate, Private Equity, Infrastructure, Commodities, Hedge Funds, Venture Capital</t>
  </si>
  <si>
    <t>United States, United Kingdom, Hong Kong, Japan, Australia, Singapore, China, India, Indonesia, South Korea, Pakistan, Bangladesh, Vietnam, Malaysia, Philippines, Thailand, Sri Lanka, Nepal, Myanmar, Laos</t>
  </si>
  <si>
    <t>Mulkia Investment Company</t>
  </si>
  <si>
    <t>Prince Abdulaziz Ibn Musaid Ibn Jalawi St., Sulaymaniyah Dist., Riyadh 12234, Saudi Arabia</t>
  </si>
  <si>
    <t>https://www.mulkia.com.sa/</t>
  </si>
  <si>
    <t>info@mulkia.com.sa</t>
  </si>
  <si>
    <t>+966 8001199992</t>
  </si>
  <si>
    <t>Mulkia Investment Company is a Saudi-listed financial services firm headquartered in Riyadh, specializing in asset management and investment advisory services. The company operates under the regulations of the Capital Market Authority (CMA) of Saudi Arabia, holding license number 13170-37. Mulkia offers a range of services, including securities dealing, custody services, investment management, and operating funds, all in compliance with Islamic Shari’a principles.    The company's investment focus spans various asset classes, including real estate, private equity, and fixed income instruments. Mulkia's investment strategy targets growth, late-stage, and buyout opportunities, primarily within the Middle East region, with a particular emphasis on Saudi Arabia and neighboring countries. The firm also explores international markets, including the United States, United Kingdom, and select European and Asian countries, to diversify its portfolio and capitalize on global investment opportunities.    Mulkia's portfolio encompasses a diverse array of industries, such as real estate, financial services, construction, retail, healthcare, education, energy, telecommunications, technology, transportation, hospitality, consumer goods, media, pharmaceuticals, and agriculture. This broad industry exposure reflects the company's commitment to achieving attractive returns for its shareholders and clients while adhering to the principles of Islamic Shari’a in all its transactions. Mulkia's approach emphasizes professional duty of care and the importance of building and maintaining excellent professional relations with shareholders, business partners, customers, employees, society, and all other stakeholders.</t>
  </si>
  <si>
    <t>Real Estate, Private Equity, Fixed Income (Debt and Bonds)</t>
  </si>
  <si>
    <t>Financial Services, Technology, Healthcare, Energy, Consumer Goods, Real Estate, Telecommunications, Media, Retail, Education, Agriculture, Transportation, Hospitality, Construction, Pharmaceuticals</t>
  </si>
  <si>
    <t>United States, United Kingdom, Canada, Germany, Australia, China, India, France, United Arab Emirates, Indonesia, Saudi Arabia, Qatar, Kuwait, Oman, Egypt, Lebanon, Bahrain, Turkey, Pakistan, Jordan, Malaysia</t>
  </si>
  <si>
    <t>Compliance with Islamic Shari’a principles, Alignment with Mulkia's investment strategy and focus areas, Adherence to regulatory standards set by the Capital Market Authority of Saudi Arabia</t>
  </si>
  <si>
    <t>Mulkia Gulf Real Estate REIT Fund, Mulkia Private Equities Fund – Education Sector, Mulkia Private Equities Fund – Beverages (Mineral Water &amp; Juices) Sector, Aljawhara Real Estate Fund, Mulkia Private IPO Fund, Mulkia Fund of REITs Funds, Mulkia Equity Opportunities Fund, Mulkia Private IPO 2, Mulkia - Alnarjis Real Estate Fund, Mulkia Madain Real Estate Fund, Mulkia - Qurtoba Real Estate Fund, Mulkia - Makkah Real Estate Fund, Mulkia-Alajlan Riviera Fund, Real Estates Income Fund</t>
  </si>
  <si>
    <t>NextEnergy Solar Fund</t>
  </si>
  <si>
    <t>1 Royal Plaza, Royal Avenue, St Peter Port</t>
  </si>
  <si>
    <t>GG</t>
  </si>
  <si>
    <t>https://www.nextenergysolarfund.com/</t>
  </si>
  <si>
    <t>https://www.linkedin.com/company/nextenergy-solar-fund-nesf</t>
  </si>
  <si>
    <t>ir@nextenergysolarfund.com</t>
  </si>
  <si>
    <t>+44 (0) 1481 713 843</t>
  </si>
  <si>
    <t>NextEnergy Solar Fund (NESF) is a specialist solar energy and energy storage investment company listed on the main market of the London Stock Exchange. NESF invests primarily in utility-scale solar assets, alongside complementary ancillary technologies like energy storage. As of 30 September 2025, NESF's portfolio comprises 101 operating assets with a total installed capacity of 939 MW across the UK and Italy, and a gross asset value of £1,029 million. The company's investment objective is to provide shareholders with attractive risk-adjusted returns, principally in the form of regular dividends, by investing in a diversified portfolio of solar energy and energy storage infrastructure assets. NESF's long-term cash flows are largely inflation-linked via UK government subsidies.    NESF's strategy focuses on expanding and strengthening its portfolio in line with its investment policy, enhancing growth and diversification through the introduction of energy storage and international solar assets. The company aims to consistently achieve operational outperformance through active asset management and pursue continuous improvement in managing operating costs. NESF is committed to contributing towards a net-zero sustainable future and helping mitigate climate change, while enhancing local biodiversity in the areas where it operates. The company also seeks to provide a positive social impact and actively engage with and support the communities located close to its solar assets.    NESF has been recognized for its commitment to sustainability, being awarded the London Stock Exchange’s Green Economy Mark, which acknowledges that the fund derives more than 50% of its revenues from services contributing to environmental objectives such as climate change mitigation and adaptation, waste and pollution reduction, and the circular economy. The company has also been designated a Guernsey Green Fund by the Guernsey Financial Services Commission. NESF's investment manager, NextEnergy Capital, has been active in solar development, construction, and ownership across multiple jurisdictions since its founding in 2007, managing over 530 individual solar plants with a capacity exceeding 4 GW across its institutional funds.    NESF's portfolio includes investments in various countries, including the UK, Italy, the US, Portugal, Spain, Chile, Poland, Greece, and India. The company has also expanded its operations to other countries such as Canada, Romania, Cameroon, Colombia, Ethiopia, Ghana, Kenya, Malawi, Nepal, Nigeria, Pakistan, Peru, Rwanda, Sierra Leone, Sri Lanka, Syria, Tanzania, Uganda, Ukraine, Yemen, and Zimbabwe. NESF's investment strategy encompasses both growth and buyout stages, focusing on infrastructure and ESG and impact investing. The company aims to provide shareholders with attractive risk-adjusted returns through its diversified portfolio of solar energy and energy storage infrastructure assets.</t>
  </si>
  <si>
    <t>Infrastructure, ESG and Impact Investing</t>
  </si>
  <si>
    <t>Infrastructure, Renewable Energy, ESG and Impact Investing, Energy Storage</t>
  </si>
  <si>
    <t>United States, United Kingdom, Canada, India, Italy, Spain, Ghana, Kenya, Pakistan, Ethiopia, Yemen, Portugal, Greece, Nigeria, Rwanda, Poland, Chile, Colombia, Peru, Romania, Syria, Uganda, Tanzania, Sri Lanka, Nepal, Cameroon, Ukraine, Zimbabwe, Malawi, Sierra Leone</t>
  </si>
  <si>
    <t>Pakistan Kuwait Investment Company</t>
  </si>
  <si>
    <t>4th Floor, Block-C, Finance &amp; Trade Centre, Shahrah-e-Faisal, Karachi</t>
  </si>
  <si>
    <t>https://pkic.com/</t>
  </si>
  <si>
    <t>https://www.linkedin.com/company/pak-kuwait-investment-co.-pvt.-ltd./</t>
  </si>
  <si>
    <t>info@pkic.com</t>
  </si>
  <si>
    <t>(9221) 111-611-611</t>
  </si>
  <si>
    <t>Established in 1979 as a joint venture between the Governments of Pakistan and Kuwait, Pakistan Kuwait Investment Company (PKIC) is a premier development financial institution dedicated to promoting industrial and economic development in Pakistan. With an initial paid-up capital of PKR 62.50 million, PKIC has significantly expanded its financial base, reflecting its robust performance and commitment to fostering economic growth.    PKIC offers a comprehensive suite of financial services, including corporate and investment banking, capital market operations, Islamic finance, and treasury services. Its strategic focus encompasses private equity, fixed income, infrastructure, real estate, and venture capital investments, targeting various stages from early to late-stage funding, as well as buyouts and distressed assets. The company's investment approach is characterized by a commitment to high standards of corporate governance and a focus on sectors critical to Pakistan's economic development.    Over the years, PKIC has played a pivotal role in financing and developing key industrial projects, contributing to the modernization and expansion of Pakistan's industrial landscape. Its diversified portfolio spans multiple industries, underscoring its strategic vision and dedication to sustainable economic growth. The company's consistent performance and adherence to its mission reflect its status as a cornerstone in Pakistan's financial sector, committed to delivering value to its stakeholders and supporting the nation's economic advancement.</t>
  </si>
  <si>
    <t>Private Equity, Fixed Income (Debt and Bonds), Infrastructure, Real Estate, Venture Capital</t>
  </si>
  <si>
    <t>Financial Services, Technology, Healthcare, Energy, Consumer Goods, Real Estate, Infrastructure, Telecommunications, Media, Retail, Education, Agriculture, Transportation, Hospitality, Pharmaceuticals, Manufacturing</t>
  </si>
  <si>
    <t>Kuwait, Pakistan</t>
  </si>
  <si>
    <t>Projects must be economically viable and technically feasible, Alignment with PKIC's mission to promote industrial development in Pakistan, Compliance with applicable regulatory and legal frameworks, Alignment with Pakistan's industrial and economic development goals, Adherence to high standards of corporate governance</t>
  </si>
  <si>
    <t>Meezan Bank Limited, Descon Engineering Limited, Pak Oman Investment Company Limited, Pak Libya Holding Company Limited</t>
  </si>
  <si>
    <t>Lundbeckfond Invest A/S</t>
  </si>
  <si>
    <t>Scherfigsvej 7, 2100 København Ø</t>
  </si>
  <si>
    <t>Capital Region of Denmark</t>
  </si>
  <si>
    <t>DK</t>
  </si>
  <si>
    <t>https://www.lundbeckfonden.dk</t>
  </si>
  <si>
    <t>Lundbeckfond Invest A/S is an institutional investor based in Denmark, focusing on a diverse range of asset classes, including private equity, venture capital, fixed income, real estate, infrastructure, and hedge funds. The firm engages in investments across various stages, from seed and early-stage to growth, late-stage, buyout, turnaround, and distressed situations. Its geographical focus spans multiple countries, including Denmark, the United States, the United Kingdom, Switzerland, the Netherlands, New Zealand, Norway, Pakistan, Panama, Peru, the Philippines, Poland, Portugal, Venezuela, Romania, Russia, South Africa, Singapore, Slovakia, Slovenia, France, Australia, and others. The industries targeted by Lundbeckfond Invest A/S encompass pharmaceuticals, medical devices, biotechnology, healthcare, financial services, real estate, energy, technology, consumer goods, telecommunications, media, retail, transportation, utilities, education, agriculture, chemicals, automotive, construction, aerospace, and defense. The firm typically invests between $1 million and $50 million in its portfolio companies. Lundbeckfond Invest A/S is headquartered at Scherfigsvej 7, 2100 København Ø, Capital Region of Denmark, Denmark. For more information, visit their official website at www.lundbeckfonden.dk.</t>
  </si>
  <si>
    <t>Private Equity, Venture Capital, Fixed Income (Debt and Bonds), Real Estate, Infrastructure, Hedge Funds</t>
  </si>
  <si>
    <t>Financial Services, Technology, Healthcare, Energy, Consumer Goods, Real Estate, Telecommunications, Utilities, Media, Automotive, Retail, Education, Agriculture, Transportation, Aerospace, Construction, Pharmaceuticals, Medical Devices, Biotechnology, Chemicals, Defense</t>
  </si>
  <si>
    <t>United States, United Kingdom, Australia, Singapore, France, Denmark, Switzerland, Pakistan, Netherlands, South Africa, Russia, New Zealand, Philippines, Slovenia, Portugal, Norway, Poland, Peru, Slovakia, Romania, Panama, Venezuela</t>
  </si>
  <si>
    <t>Strong management team, Scalable business model, Clear exit strategy, Competitive market position, Sustainable competitive advantage, Proven track record, Innovative products or services, Strong financial performance, Clear regulatory compliance, Alignment with investor's values and objectives</t>
  </si>
  <si>
    <t>H. Lundbeck A/S, ALK-Abelló A/S, Falck A/S, FLSmidth &amp; Co. A/S, Ferrosan Medical Devices Group A/S</t>
  </si>
  <si>
    <t>Global Climate Partnership Fund</t>
  </si>
  <si>
    <t>14, Boulevard Royal, 2449 Luxembourg</t>
  </si>
  <si>
    <t>https://gcpf.lu/</t>
  </si>
  <si>
    <t>info@gcpf.lu</t>
  </si>
  <si>
    <t>+352 26 25 1-1</t>
  </si>
  <si>
    <t>Established in 2009, the Global Climate Partnership Fund (GCPF) is a Luxembourg-based investment company under Luxembourg law. It was initiated by the German Federal Ministry for the Environment, Nature Conservation, Building and Nuclear Safety (BMUB) and KfW Entwicklungsbank, with management by responsAbility Investments AG. The fund addresses the financing gap for low-carbon projects in developing economies by providing funding for energy efficiency and renewable energy projects targeting small and medium-sized enterprises (SMEs) and private households. GCPF collaborates primarily with local financial institutions but also engages directly with projects, aiming to support areas that are underserved by private capital providers and do not require subsidies to realize their potential.    GCPF's investment strategy involves offering mid to long-term financing, typically between USD 5 million and USD 30 million, with flexible funding schedules. The fund provides senior or subordinated debt, financing up to 49.9% of tier 1 capital and/or up to 25% of total assets for local financial institutions. For climate-focused companies, GCPF offers direct funding primarily in the form of senior debt, with maturities of up to 15 years. The fund's geographical focus spans multiple developing economies, including countries in Sub-Saharan Africa, East Asia and Pacific, Europe and Central Asia, Middle East and North Africa, and South Asia.    GCPF's portfolio encompasses a diverse range of industries, including energy efficiency, renewable energy, financial services, agriculture, manufacturing, construction, real estate, transportation, water management, waste management, telecommunications, healthcare, education, retail, and hospitality. The fund's investments aim to mitigate climate change by reducing greenhouse gas emissions, in line with the long-term global warming targets of the Paris Climate Agreement. By fostering sustainable investments in clean energy projects, GCPF contributes to the reduction of primary energy consumption and supports the transition to low-emission and climate-resilient development pathways in developing countries.</t>
  </si>
  <si>
    <t>ESG and Impact Investing, Infrastructure, Private Equity</t>
  </si>
  <si>
    <t>Financial Services, Healthcare, Real Estate, Telecommunications, Retail, Education, Renewable Energy, Agriculture, Transportation, Hospitality, Construction, Manufacturing, Energy Efficiency, Waste Management, Water Management</t>
  </si>
  <si>
    <t>India, Indonesia, Kenya, Turkey, Pakistan, Bangladesh, South Africa, Vietnam, Mongolia, Philippines, Uganda, Tanzania, Sri Lanka, Nepal, Georgia, Costa Rica, Azerbaijan, Ecuador, Nicaragua, Uzbekistan</t>
  </si>
  <si>
    <t>Saudi Pak Industrial and Agricultural Investment Company Limited</t>
  </si>
  <si>
    <t>Saudi Pak Tower, 61 A- Jinnah Avenue, Islamabad</t>
  </si>
  <si>
    <t>Islamabad Capital Territory</t>
  </si>
  <si>
    <t>http://www.saudipak.com</t>
  </si>
  <si>
    <t>complaintunit@demo.saudipak.com</t>
  </si>
  <si>
    <t>+92-51-111-222-003</t>
  </si>
  <si>
    <t xml:space="preserve">Established in 1981, Saudi Pak Industrial and Agricultural Investment Company Limited is a development financial institution in Pakistan, jointly sponsored by the Governments of the Kingdom of Saudi Arabia and the Islamic Republic of Pakistan. The company focuses on providing financial products and services, including project financing, working capital loans, term finance certificates, and leasing facilities, primarily targeting industrial and agro-based projects within Pakistan. Its mission is to promote investment in sectors with high value addition, export potential, and optimal utilization of indigenous resources.    The company's investment strategy encompasses a diverse range of asset classes, such as private equity, real estate, and fixed income instruments. It targets various stages of business development, including growth, late stage, and buyout opportunities. Geographically, Saudi Pak concentrates its investments within Pakistan, aiming to bolster the country's economic development. The company has a broad industry focus, encompassing sectors like financial services, real estate, agriculture, manufacturing, infrastructure, energy, telecommunications, healthcare, education, consumer goods, transportation, retail, technology, media, and hospitality.    Saudi Pak's investment philosophy emphasizes sustainable growth and competitiveness in its commercial operations. It seeks to build and manage a diversified equity portfolio that promises optimal returns. The company has a history of significant investments, including the development of the Saudi Pak Tower in Islamabad, a landmark high-rise building completed in 1992. Additionally, Saudi Pak has been involved in various acquisitions and divestitures, such as the acquisition of Standard Chartered Mercantile Leasing Company Limited in 1997, which was later renamed Saudi Pak Leasing Company Limited, and the divestment of Saudi Pak Commercial Bank Limited in 2008. These strategic moves reflect Saudi Pak's commitment to enhancing its portfolio and contributing to Pakistan's economic growth.    </t>
  </si>
  <si>
    <t>Private Equity, Real Estate, Fixed Income (Debt and Bonds)</t>
  </si>
  <si>
    <t>Pak-China Investment Company Limited</t>
  </si>
  <si>
    <t>13th Floor, Saudi Pak Tower, 61-A, Jinnah Avenue, Blue Area, F-7/4, Islamabad</t>
  </si>
  <si>
    <t>https://www.pakchinainvest.com</t>
  </si>
  <si>
    <t>procurement@pakchinainvest.com</t>
  </si>
  <si>
    <t>051-2099632</t>
  </si>
  <si>
    <t>Established in 2007, Pak-China Investment Company Limited (PCICL) is a development financial institution formed through a joint venture between the Government of Pakistan and the People's Republic of China. Its primary objective is to act as a bridge for promoting bilateral trade and investment between the two nations, focusing on financing economically viable and technically feasible projects. PCICL is regulated by the State Bank of Pakistan and offers a wide range of financial services across various sectors, including infrastructure, industrial, agriculture, services, information technology, manufacturing, and real estate.  The company's investment strategy encompasses multiple stages, such as growth, late stage, pre-IPO, buyout, turnaround, and distressed investments. PCICL's geographical focus includes Pakistan and China, with a diverse portfolio spanning industries like infrastructure, industrial, agriculture, services, information technology, manufacturing, and real estate. This strategic approach enables PCICL to support the economic development of Pakistan by attracting Chinese investment and providing financial solutions tailored to various sectors.  Over the years, PCICL has played a vital role in fostering economic growth by facilitating joint ventures, project financing, and asset management. Its commitment to promoting bilateral economic cooperation has contributed to enhancing the investment climate in Pakistan, thereby supporting the country's development objectives. The company's governance structure ensures effective oversight and strategic direction, aligning with its mission to serve as a catalyst for sustainable economic growth through collaborative investments and financial services.</t>
  </si>
  <si>
    <t>Infrastructure, Industrial, Agriculture, Services, Information Technology, Manufacturing, Real Estate</t>
  </si>
  <si>
    <t>Real Estate, Infrastructure, Agriculture, Industrial, Manufacturing, Information Technology, Services</t>
  </si>
  <si>
    <t>China, Pakistan</t>
  </si>
  <si>
    <t>Economically viable projects, Technically feasible projects, Bilateral trade and investment promotion</t>
  </si>
  <si>
    <t>Atman Investment</t>
  </si>
  <si>
    <t>The Offices 4, office TO4-FLR01-01.03.01, Trade Center Second, Dubai, UAE</t>
  </si>
  <si>
    <t>https://atmaninvest.ae/</t>
  </si>
  <si>
    <t>info@atmaninvest.ae</t>
  </si>
  <si>
    <t>+971 4 577 0682</t>
  </si>
  <si>
    <t>Atman Investment is a dynamic investment company focused on developing and managing high-impact projects in strategically vital sectors. The company specializes in funding and guiding businesses in agriculture, energy, technology, industry, and commercial development. Whether launching new ventures or scaling existing operations, Atman provides more than capital—it offers full-cycle support, from strategy to execution.    Atman Investment's strategic approach goes beyond funding; they invest with vision and action. Their value proposition includes a trusted global partnership, a hands-on investment style, and industry-spanning expertise. The company has a proven track record of successful international investments and partnerships, actively engaging in operations to bring value beyond capital. Their deep understanding of complex sectors is complemented by a strategic, multidisciplinary approach.    For those interested in collaboration, Atman Investment is open to partnerships. They encourage reaching out to discuss potential projects or to find a strategic partner. The company's offices are located in Dubai, UAE, and they can be contacted via email at info@atmaninvest.ae or by phone at +971 4 577 0682.</t>
  </si>
  <si>
    <t>Private Equity, Real Estate, Infrastructure, Venture Capital</t>
  </si>
  <si>
    <t>Technology, Energy, Agriculture, Industry, Commercial Development</t>
  </si>
  <si>
    <t>Japan, Australia, Europe, Asia, Singapore, China, India, United Arab Emirates, Indonesia, South Korea, Middle East, Pakistan, Russia, Vietnam, Malaysia, New Zealand, Philippines, Thailand, Africa, South America, North America</t>
  </si>
  <si>
    <t>High-impact projects in agriculture, energy, technology, industry, and commercial development, Alignment with Atman's strategic vision and values, Potential for sustainable growth and profitability, Ability to scale operations regionally or globally, Commitment to innovation and operational excellence</t>
  </si>
  <si>
    <t>Atman Holdings</t>
  </si>
  <si>
    <t>16 Raffles Quay #17-03, Hong Leong Building, Singapore 048581</t>
  </si>
  <si>
    <t>https://www.atmanholdings.com/</t>
  </si>
  <si>
    <t>inquiries@atmanholdings.com</t>
  </si>
  <si>
    <t>Atman Holdings is a multi-family office investment company based in Singapore, comprised of several entrepreneurs seeking to capitalize on emerging investment opportunities across Asia. The company has a strong foothold within various parts of South Asia and Southeast Asia. Atman Holdings invests in companies at every stage, from seed to growth, providing them with the equity capital and support necessary to scale up from early-stage startups to successful businesses.    The company's investment portfolio ranges across a variety of business interests, with a focus on new business ideas that identify market gaps, solve problems, and disrupt industries. Their industries of interest include agriculture, real estate, renewable energy, retail, leisure, and technology. Atman Holdings is committed to fostering innovation and supporting businesses that have the potential to make a significant impact in their respective sectors.    With a team of experienced entrepreneurs and investors, Atman Holdings leverages its collective expertise to identify and nurture high-potential companies. Their approach combines strategic guidance with financial support, aiming to create long-term value for both the businesses they invest in and the communities they serve. Atman Holdings continues to expand its presence across Asia, seeking opportunities that align with its mission to drive sustainable growth and innovation.</t>
  </si>
  <si>
    <t>Private Equity, Venture Capital, Real Estate, Renewable Energy, Retail, Leisure, Agriculture</t>
  </si>
  <si>
    <t>Real Estate, Retail, Renewable Energy, Agriculture, Leisure</t>
  </si>
  <si>
    <t>Japan, Australia, Singapore, China, India, Indonesia, South Korea, Pakistan, Bangladesh, Vietnam, Malaysia, New Zealand, Philippines, Thailand, Sri Lanka, Nepal, Myanmar, Cambodia, Laos, Brunei</t>
  </si>
  <si>
    <t>Innovative business models, Scalable operations, Strong management teams, Potential for market disruption, Alignment with Atman Holdings' strategic focus areas</t>
  </si>
  <si>
    <t>Al-Dar Holding</t>
  </si>
  <si>
    <t>Ali Bin Abi Talib Road, Bur Dubai, P.O. Box 5413, Dubai</t>
  </si>
  <si>
    <t>https://al-dar.com/</t>
  </si>
  <si>
    <t>info@al-dar.com</t>
  </si>
  <si>
    <t>+971 4 353 25 19</t>
  </si>
  <si>
    <t>Al-Dar Holding is a privately held trading and investment company established in 1900, with diversified investments across financial markets, healthcare, real estate, and technology. The company began as a small trading entity and has evolved into a diversified investment powerhouse, with a significant presence in Dubai since 1970. Al-Dar Holding's portfolio spans various sectors, reflecting its commitment to growth and innovation.    The company's investment strategy focuses on both developed and emerging markets, aiming to provide optimal returns while managing risks. Al-Dar Holding's approach includes investments in financial markets, healthcare, real estate, and technology, demonstrating its adaptability and forward-thinking philosophy. The firm emphasizes agility and continuous learning, ensuring it evolves in step with the ever-changing business landscape.    Al-Dar Holding's track record showcases its resilience and dedication to creating value across its diverse investments. The company's culture thrives on dedication, patience, and a relentless drive for innovation, fostering an environment that supports sustainable growth and long-term success. Al-Dar Holding's commitment to excellence is evident in its strategic investments and its role in contributing to the economic development of the regions it operates in.</t>
  </si>
  <si>
    <t>Financial Markets, Healthcare, Real Estate, Technology</t>
  </si>
  <si>
    <t>Financial Services, Technology, Healthcare, Real Estate</t>
  </si>
  <si>
    <t>United States, Canada, Italy, United Arab Emirates, Spain, Pakistan, Poland</t>
  </si>
  <si>
    <t>Diversified portfolio, Focus on growth and innovation, Adaptability to market changes, Commitment to sustainable growth, Long-term investment horizon</t>
  </si>
  <si>
    <t>responsAbility SICAV (Lux)</t>
  </si>
  <si>
    <t>5, rue Jean Monnet, Luxembourg</t>
  </si>
  <si>
    <t>responsAbility SICAV (Lux) is a Luxembourg-based investment company specializing in sustainable investments across emerging markets. The company primarily focuses on sectors such as microfinance and renewable energy, aiming to generate both financial returns and positive social and environmental impacts. By targeting these areas, responsAbility SICAV (Lux) seeks to address critical challenges in developing economies while promoting sustainable development.  The company's investment strategy encompasses a diverse range of asset classes, including private equity, fixed income, infrastructure, real estate, and venture capital. responsAbility SICAV (Lux) engages in various investment stages, from early-stage ventures to growth, late-stage, pre-IPO, buyout, turnaround, and distressed situations. This comprehensive approach enables the firm to support a wide array of projects and companies, contributing to the economic development and stability of emerging markets.  With a strong emphasis on environmental, social, and governance (ESG) factors, responsAbility SICAV (Lux) ensures that its investments align with the United Nations Sustainable Development Goals (SDGs). The company's portfolio spans multiple industries, such as agriculture, energy, financial services, healthcare, technology, education, infrastructure, manufacturing, retail, telecommunications, transportation, media, real estate, consumer goods, and tourism. Through its diversified investments, responsAbility SICAV (Lux) demonstrates a commitment to fostering sustainable growth and addressing global challenges in emerging economies.</t>
  </si>
  <si>
    <t>China, India, Brazil, Mexico, Indonesia, Ghana, Kenya, Egypt, Morocco, Pakistan, Bangladesh, South Africa, Vietnam, Philippines, Nigeria, Argentina, Colombia, Peru, Sri Lanka, Ecuador</t>
  </si>
  <si>
    <t>Institutional investors, Professional investors, Qualified investors</t>
  </si>
  <si>
    <t>PT Bank Central Asia Tbk, PT Bank Pan Indonesia Tbk, PT Bank Mandiri (Persero) Tbk, PT United Tractors Tbk, PT Bank KEB Hana Indonesia</t>
  </si>
  <si>
    <t>Clinton Capital Partners</t>
  </si>
  <si>
    <t>Suite 109, 350 George Street, Sydney</t>
  </si>
  <si>
    <t>https://www.clintoncapitalpartners.com.au/</t>
  </si>
  <si>
    <t>https://www.linkedin.com/company/clinton-capital-partners/</t>
  </si>
  <si>
    <t>info@clintoncapitalpartners.com.au</t>
  </si>
  <si>
    <t>+61 414 446 444</t>
  </si>
  <si>
    <t xml:space="preserve">Clinton Capital Partners is a boutique venture capital advisory firm specializing in raising capital and growing shareholder returns for early-stage technology companies and their investors. With over 70 years of combined experience, the firm has completed more than 70 successful transactions and crystallized 14 liquidity events across diversified tech and non-tech sectors. Their investment thesis is based on honor, integrity, and humility, emphasizing the quality of companies they partner with and their investment performance.    The firm offers a range of services, including capital raising (equity and debt), advisory services such as investor readiness, business growth and scaling, mergers and acquisitions, and shareholder returns. They invest their own funds to align company, investor, and advisor interests. Clinton Capital Partners has relationships with over 5,000 global and culturally aligned family offices, boutique funds, VC funds, institutional funds, private equity firms, and corporates.    Clinton Capital Partners operates in various regions, including Australia, New Zealand, the United States, Singapore, Hong Kong, China, Malaysia, Thailand, Indonesia, the Philippines, India, Pakistan, Dubai, Japan, the United Kingdom, South Korea, Taiwan, India, Pakistan, Japan, and the United States. They focus on industries such as technology, healthcare, marketing and advertising, travel, telecommunications, education, banking, fintech, lending and credit, e-commerce, SaaS, retail, enterprise software, farming, legal, customer service, content, entertainment and media, tourism, cloud infrastructure, and communities. Their investment sizes range from $1 million to $5 million, targeting stages from seed to Series B.    Clinton Capital Partners is led by Principal Randolf Clinton, who has over 35 years of experience in investment banking and financial markets, having worked in the UK, Singapore, Hong Kong, and Australia. The firm is headquartered in Sydney, New South Wales, Australia, and operates as an independent company.    </t>
  </si>
  <si>
    <t>Technology, Healthcare, Telecommunications, Banking, Retail, Education, FinTech, E-commerce, SaaS, Content, Tourism, Travel, Enterprise Software, Cloud Infrastructure, Marketing and Advertising, Legal, Customer Service, Entertainment and Media, Lending and Credit, Communities, Farming</t>
  </si>
  <si>
    <t>United States, United Kingdom, Hong Kong, Japan, Australia, Singapore, China, India, Indonesia, South Korea, Pakistan, Malaysia, New Zealand, Philippines, Thailand, Taiwan, Dubai</t>
  </si>
  <si>
    <t>Early-stage technology companies seeking capital raising and advisory services</t>
  </si>
  <si>
    <t>Tribe</t>
  </si>
  <si>
    <t>The Edgeof</t>
  </si>
  <si>
    <t>https://www.theedgeof.co</t>
  </si>
  <si>
    <t>https://www.linkedin.com/company/the-edgeof</t>
  </si>
  <si>
    <t>theedgeof@redhill.asia</t>
  </si>
  <si>
    <t>The Edgeof is a Singapore-based venture capital firm focused on uncovering, developing, and investing in startups across Asia. Established in 2023, the firm aims to build a vibrant ecosystem by uniting like-minded investors, researchers, advisors, and partners. The Edgeof's investment strategy emphasizes early to growth-stage companies, particularly in sectors such as artificial intelligence, software as a service, and social impact.    In April 2023, The Edgeof expanded its reach by acquiring SoftBank Ventures Asia (SBVA), a Seoul-based early-stage venture capital firm with US$2 billion in assets under management. This acquisition was part of The Edgeof's plan to establish a pan-Asian ecosystem for pioneering startups and visionary entrepreneurs. The combined entity seeks to enhance support, development, and expansion of startups poised to transform the world, spanning from Singapore to the greater pan-Asian market.    The Edgeof's portfolio includes investments in companies like Liquidstar, a Hong Kong-based startup in which the firm led a pre-seed round in September 2022. The firm's investment philosophy centers on identifying and supporting startups with transformative technologies that can make a significant societal impact. By leveraging its extensive network and expertise, The Edgeof aims to foster innovation and technological advancement across the region.</t>
  </si>
  <si>
    <t>Technology, Healthcare, Energy, Consumer Goods, Real Estate, Media, EdTech, FinTech, E-commerce, Logistics, Artificial Intelligence, Entertainment, Agtech, Software as a Service, Social Impact</t>
  </si>
  <si>
    <t>Hong Kong, Japan, Singapore, China, India, Indonesia, South Korea, Pakistan, Bangladesh, Vietnam, Malaysia, Philippines, Thailand, Sri Lanka, Nepal, Myanmar, Cambodia, Laos, Brunei, Timor-Leste</t>
  </si>
  <si>
    <t>Innovative technology solutions, Scalable business models, Strong founding teams, Potential for significant societal impact, Alignment with The Edgeof's strategic focus areas</t>
  </si>
  <si>
    <t>Liquidstar</t>
  </si>
  <si>
    <t>AstraX Capital</t>
  </si>
  <si>
    <t>https://astraxcapital.com/</t>
  </si>
  <si>
    <t>contact@astraxcapital.com</t>
  </si>
  <si>
    <t>AstraX Capital is a venture capital firm specializing in supporting visionary founders developing innovative infrastructure and decentralized applications within the Web3 ecosystem. Their mission is to turn bold ideas into market-defining ventures that redefine industries. Guided by integrity, innovation, and collaboration, their globally experienced team partners with startups at every stage, offering strategic capital and hands-on expertise to accelerate growth, unlock value, and shape tomorrow’s technological landscape.    They specialize in identifying and nurturing disruptive startups at the earliest stages, from pre-seed to Series A. Beyond capital, they provide founders with tailored mentorship, access to their global network, and operational resources to transform groundbreaking concepts into scalable, sustainable businesses. Their hands-on approach ensures innovators can focus on building solutions that revolutionize industries.    As ventures scale from microcap to market leader, AstraX Capital stands by their side. Their growth framework includes securing follow-on funding, forging strategic partnerships, and unlocking global markets. With deep expertise in navigating regulatory hurdles and optimizing operational scalability, they empower portfolio companies to thrive in dynamic environments—turning potential into dominance.</t>
  </si>
  <si>
    <t>Financial Services, Technology, Artificial Intelligence, Blockchain, Metaverse, Gaming, DeFi, Web3, NFTs, AI-driven Innovation, Non-Fungible Tokens (NFTs)</t>
  </si>
  <si>
    <t>United States, Japan, Singapore, China, India, Indonesia, South Korea, Pakistan, Bangladesh, Vietnam, Malaysia, Afghanistan, Philippines, Thailand, Maldives, Sri Lanka, Nepal, Myanmar, Cambodia, Laos, Brunei, Timor-Leste</t>
  </si>
  <si>
    <t>Innovative blockchain or fintech solutions, Strong founding team, Scalable business model, Focus on emerging markets, Innovative blockchain and fintech solutions, Strong founding teams, Scalable business models</t>
  </si>
  <si>
    <t>SparkPoint Technologies Inc., MetaGaming Guild Ltd., Astra Interactive Studios Inc., Block Tides, Aurora Pacific Economic Zone Authority (APECO), San Beda Alabang School of Law, Blockchain Association of the Philippines, Fintech Philippines Association, Block Devs Asia, Inc.</t>
  </si>
  <si>
    <t>eWTP Arabia Capital</t>
  </si>
  <si>
    <t>https://ewpartners.fund/</t>
  </si>
  <si>
    <t>deal@ewpartners.fund</t>
  </si>
  <si>
    <t xml:space="preserve">eWTP Arabia Capital, now known as ewpartners, is a private equity firm specializing in cross-border investments between Asia and the Middle East. Established in 2017, the firm has been instrumental in fostering economic growth and technological advancement in the MENA region. Backed by the Public Investment Fund of Saudi Arabia (PIF), ewpartners has raised and fully deployed $400 million for its Fund I and is targeting $1 billion for Fund II, reflecting strong investor interest. The firm has 18 portfolio investments and has created more than 6,500 jobs for a Saudi workforce, contributing significantly to the Kingdom’s economy.    The firm's investment strategy focuses on sectors such as Infrastructure &amp; Logistics, Fintech, Technology/ICT, Tourism, Gaming/Esports, New Energy, Healthcare, Consumer Goods, and Agriculture, all with a focus on technological and digital upgrading. By establishing and maintaining the Kingdom’s position at the forefront of technological excellence, ewpartners has been a key contributor in bolstering the Saudi economy, helping ensure the future of the country is driven by its own people. The rebrand now symbolizes a broadening out of its initial focus to include investments into the wider region. The ‘east west’ wording incorporated into ewpartners symbolizes the transfer of knowledge and investment that the company facilitates between Asia and the Middle East.    Since its inception, ewpartners has demonstrated exceptional performance, solidifying its position among industry leaders. In May 2024, the firm's Technology Fund I was recognized as the fifth top-performing VC fund in the US$250 Million to US$499 Million category by net Internal Rate of Return (IRR) for vintages between 2015-2020. This recognition underscores the commitment of the team and the robustness of their investment strategy. It also highlights the significant growth potential of the Middle East and North Africa market, particularly in Saudi Arabia. As a pivotal driver of technological advancement in the region, ewpartners remains steadfast in its mission to empower entrepreneurs and deliver value to its investors.    </t>
  </si>
  <si>
    <t>Technology, Healthcare, Consumer Goods, Infrastructure, Agriculture, FinTech, Logistics, Gaming, Tourism, New Energy</t>
  </si>
  <si>
    <t>Focus on technological and digital upgrading, Targeting growth stage technology and technology-enabled investments, Preference for investments in the MENA region with potential for cross-border expansion</t>
  </si>
  <si>
    <t>J&amp;T Express, Raha, Sahm, COFE</t>
  </si>
  <si>
    <t>Ocular Partners</t>
  </si>
  <si>
    <t>https://www.ocular.vc/</t>
  </si>
  <si>
    <t>crypto@ocular.vc</t>
  </si>
  <si>
    <t>Ocular Partners is a venture capital firm specializing in early-stage investments within the blockchain and fintech sectors. The firm is managed by Openspace Capital, a leading multi-stage asset manager focused on Southeast Asia. Ocular Partners leverages Openspace Capital's extensive network and operational expertise to identify and support promising startups in the crypto and Web3 space.    The firm's investment strategy emphasizes backing companies that are developing innovative solutions in decentralized finance (DeFi), gaming, infrastructure, and tooling. Ocular Partners aims to partner with founders who are committed to realizing transformative technological visions, even if they appear ambitious by today's standards. The firm offers a comprehensive value proposition, including in-house software engineers, data scientists, human resources, and marketing personnel to assist with pre-investment due diligence and post-investment monitoring.    With a deep understanding of Southeast Asian consumer behavior and fintech, Ocular Partners maintains a strong presence in the region, operating six offices with native language skills and extensive relationships with institutions, corporates, large families, and tech investors. This geographical advantage enables the firm to effectively source deals and create synergies between crypto and real-world tech applications within its portfolio. Ocular Partners' commitment to the industry is further demonstrated by its full Capital Market Services License issued by the Monetary Authority of Singapore, underscoring its legitimacy and dedication to the crypto and Web3 sectors.</t>
  </si>
  <si>
    <t>Financial Services, Technology, Infrastructure, FinTech, Cryptocurrency, Artificial Intelligence, Blockchain, Gaming, Cybersecurity, Web3, Data Science, Marketing, Human Resources, Software Engineering, Tooling</t>
  </si>
  <si>
    <t>United States, Japan, Australia, Singapore, China, India, Indonesia, South Korea, Pakistan, Bangladesh, Vietnam, Malaysia, New Zealand, Philippines, Thailand, Sri Lanka, Myanmar, Cambodia, Laos, Brunei, Timor-Leste</t>
  </si>
  <si>
    <t>Early-stage technology companies, Focus on blockchain and fintech sectors, Innovative solutions in DeFi, gaming, infrastructure, and tooling, Strong commitment to transformative technological visions, Operational expertise in Southeast Asia</t>
  </si>
  <si>
    <t>Waratah Capital Advisors Ltd.</t>
  </si>
  <si>
    <t>1133 Yonge Street, 5th Floor, Toronto, Ontario</t>
  </si>
  <si>
    <t>https://waratahadvisors.com</t>
  </si>
  <si>
    <t>info@waratahadvisors.com</t>
  </si>
  <si>
    <t>416-687-6791</t>
  </si>
  <si>
    <t>Waratah Capital Advisors Ltd. is a Toronto-based private investment firm specializing in private equity and venture capital investments across various industries and stages. The firm focuses on sectors such as technology, healthcare, financial services, consumer goods, energy, industrial, telecommunications, media, real estate, education, transportation, utilities, materials, consumer services, and business services. Their investment strategy encompasses early-stage, growth, late-stage, pre-IPO, and buyout opportunities, with a geographical focus that includes Canada, the United States, Europe, Asia, Australia, South America, Africa, the Middle East, Southeast Asia, India, China, Japan, South Korea, Hong Kong, Singapore, Malaysia, Thailand, Indonesia, the Philippines, Vietnam, and Pakistan. Investment sizes range from $1 million to $50 million, depending on the specific opportunity and stage of investment.    The firm employs a disciplined investment approach, leveraging its extensive network and industry expertise to identify and capitalize on high-potential opportunities. They prioritize partnerships with management teams that demonstrate strong leadership and a clear vision for growth. Waratah Capital Advisors Ltd. is committed to delivering superior returns to its investors by actively engaging in the strategic direction and operational improvements of its portfolio companies.    With a track record of successful investments across diverse sectors and stages, Waratah Capital Advisors Ltd. continues to seek opportunities that align with its investment philosophy and contribute to the long-term success of its portfolio companies.</t>
  </si>
  <si>
    <t>Financial Services, Technology, Healthcare, Energy, Consumer Goods, Real Estate, Materials, Telecommunications, Utilities, Media, Retail, Education, Industrial, Business Services, Transportation, Consumer Services</t>
  </si>
  <si>
    <t>United States, Canada, Hong Kong, Japan, Australia, Europe, Asia, Singapore, China, India, Indonesia, South Korea, Middle East, Pakistan, Vietnam, Malaysia, Philippines, Southeast Asia, Thailand, Africa, South America</t>
  </si>
  <si>
    <t>Strong management teams, Scalable business models, Clear growth potential, Competitive market positioning, Ability to achieve operational improvements</t>
  </si>
  <si>
    <t>Antler Australia</t>
  </si>
  <si>
    <t>Level 2, Homebush DFO, 3-5 Underwood Rd, Homebush, NSW 2140, Australia</t>
  </si>
  <si>
    <t>https://www.antler.co/location/australia</t>
  </si>
  <si>
    <t>https://www.linkedin.com/company/antlerglobal</t>
  </si>
  <si>
    <t>customerservice.au@antler.com</t>
  </si>
  <si>
    <t>1300 268 537</t>
  </si>
  <si>
    <t>Antler Australia is a prominent early-stage venture capital firm that operates as part of the global Antler network, which spans over 30 cities worldwide. The firm is dedicated to supporting entrepreneurs in Australia by providing funding, mentorship, and resources to help them build successful startups. Antler Australia's approach combines a business incubator and accelerator program, offering a comprehensive platform for founders to develop their ideas and scale their businesses.    The firm's investment strategy is centered on identifying and nurturing high-potential startups across various sectors, including technology, healthcare, consumer goods, and more. Antler Australia focuses on early-stage investments, typically engaging with companies at the pre-seed, seed, and early stages, and extending support up to Series B and growth stages. This approach allows the firm to be deeply involved in the foundational development of its portfolio companies, providing them with the necessary tools and guidance to succeed in competitive markets.    Antler Australia's track record includes a diverse portfolio of companies that have achieved significant milestones and attracted additional funding from other leading venture capital firms. The firm's philosophy emphasizes a founder-centric model, aiming to increase the speed and success rate of entrepreneurs in solving important problems. By leveraging its global network and resources, Antler Australia continues to play a pivotal role in fostering innovation and entrepreneurship within the Australian startup ecosystem.</t>
  </si>
  <si>
    <t>United States, United Kingdom, Germany, Japan, Australia, Singapore, China, India, France, Italy, Indonesia, South Korea, Pakistan, Bangladesh, Vietnam, Malaysia, New Zealand, Philippines, Thailand, Sri Lanka</t>
  </si>
  <si>
    <t>Innovative business models, Scalable growth potential, Strong founding teams, Clear market demand, Sustainable competitive advantage, Innovative business ideas, Scalable business models, Clear market potential, Commitment to growth and impact</t>
  </si>
  <si>
    <t>Pathzero, Airwallex, Judo Bank, UpGuard, Slyp, Brosa, Swoop Aero, Brighte, Biteable, Flare HR, Hatch, Hivery, Juggle Street, Kiddom, Liven, Mable, MediRecords, OpenAgent</t>
  </si>
  <si>
    <t>PIF Nation</t>
  </si>
  <si>
    <t>120 Robinson Road Suite 15-01, Singapore</t>
  </si>
  <si>
    <t>https://pifnation.com</t>
  </si>
  <si>
    <t>https://www.linkedin.com/company/pifnation-com/</t>
  </si>
  <si>
    <t>contact@pifnation.com</t>
  </si>
  <si>
    <t>PIF Nation is a Singapore-based venture capital firm specializing in blockchain and cryptocurrency investments. The firm focuses on early-stage projects in the gaming and fintech sectors, aiming to support innovative startups in the rapidly evolving digital economy. PIF Nation leverages its expertise to identify and nurture promising ventures that align with its strategic vision.  The firm's investment strategy centers on sectors such as gaming, blockchain, cryptocurrency, fintech, and technology. PIF Nation actively seeks opportunities in mobile applications, SaaS platforms, Web3 technologies, and the metaverse, reflecting its commitment to cutting-edge digital innovations. By targeting these areas, the firm aims to foster growth and development in emerging markets.  PIF Nation's portfolio includes a diverse range of companies across various industries, demonstrating its broad investment approach. The firm has established a reputation for its strategic insights and active involvement in the growth of its portfolio companies, contributing to the advancement of the digital economy in the Asia-Pacific region and beyond.  PIF Nation's investment philosophy emphasizes transparency, strategic alignment, and active support for portfolio companies. The firm is dedicated to fostering innovation and driving growth in the blockchain and cryptocurrency sectors, positioning itself as a key player in the global venture capital landscape.</t>
  </si>
  <si>
    <t>Technology, Media, Software, FinTech, E-commerce, Cryptocurrency, SaaS, Blockchain, Metaverse, Gaming, Digital Media, Entertainment, Web3, Hardware, Mobile Apps</t>
  </si>
  <si>
    <t>TusStar</t>
  </si>
  <si>
    <t>No.212 Jiyang Road, Jiyang District, Sanya City, Hainan, 572000</t>
  </si>
  <si>
    <t>Hainan</t>
  </si>
  <si>
    <t>http://www.tusstar.com</t>
  </si>
  <si>
    <t>guorx@tusstar.com</t>
  </si>
  <si>
    <t>+86 15088130157</t>
  </si>
  <si>
    <t>TusStar is a prominent Chinese venture capital firm specializing in early-stage investments within the technology and innovation sectors. Established in 1999, the firm has incubated over 5,000 companies, including 49 Diamond Companies, 45 Golden Seed Project companies, and 34 listed companies. TusStar's extensive network spans across China and internationally, with over 300 locations in more than 70 cities. The firm operates through a model that integrates innovation services and business platform development, providing comprehensive support to startups and entrepreneurs.    TusStar's investment strategy encompasses a wide range of stages, from seed funding to growth and pre-IPO investments. The firm focuses on sectors such as technology, healthcare, biotechnology, internet, education, medical, hardware, finance, financial services, and agriculture. Its geographical focus includes China, Malaysia, the United States, Egypt, Thailand, Singapore, Germany, the United Kingdom, France, Italy, Spain, the Netherlands, Belgium, Sweden, Finland, Denmark, Norway, Poland, the Czech Republic, and Hungary. TusStar's approach combines incubation services with seed investment, aiming to foster innovation and entrepreneurship across diverse industries and regions.    With a track record of supporting numerous successful startups and listed companies, TusStar has established itself as a key player in the venture capital landscape. The firm's commitment to nurturing high-tech projects and creating regional innovation ecosystems underscores its dedication to advancing technological and entrepreneurial development both domestically and internationally. TusStar's comprehensive services and strategic investments continue to contribute significantly to the growth and success of its portfolio companies, reinforcing its position as a leading venture capital firm in the global market.</t>
  </si>
  <si>
    <t>Financial Services, Technology, Healthcare, Finance, Education, Agriculture, Internet, Biotechnology, Hardware, Clean Energy, Medical, Incubators, New Material, ICT &amp; Communications, Digital Information, Agriculture and Forestry</t>
  </si>
  <si>
    <t>United States, United Kingdom, Germany, Japan, Singapore, China, India, France, Italy, Denmark, United Arab Emirates, Spain, Indonesia, South Korea, Egypt, Pakistan, Bangladesh, Netherlands, Russia, Hungary, Vietnam, Malaysia, Afghanistan, Philippines, Sweden, Belgium, Thailand, Norway, Finland, Poland, Czech Republic, Sri Lanka, Nepal, Myanmar</t>
  </si>
  <si>
    <t>Innovative technology or business model, Scalable growth potential, Strong management team, Clear market demand, Competitive advantage</t>
  </si>
  <si>
    <t>Landstar, TusStar Malaysia, TusStar Ann Arbor, TusStar Sanya, TusStar Thailand, TusStar Singapore, TusStar Germany, TusStar UK, TusStar France, TusStar Italy, TusStar Spain, TusStar Netherlands, TusStar Belgium, TusStar Sweden, TusStar Finland, TusStar Denmark, TusStar Norway, TusStar Poland, TusStar Czech Republic, TusStar Hungary</t>
  </si>
  <si>
    <t>InnoVen Capital</t>
  </si>
  <si>
    <t>3 Fraser Street, #20-28 DUO Tower, Singapore 189352</t>
  </si>
  <si>
    <t>https://www.innovencapital.com/</t>
  </si>
  <si>
    <t>contact@innovencapital.com</t>
  </si>
  <si>
    <t>+65 6532 2416</t>
  </si>
  <si>
    <t>InnoVen Capital is Asia's leading venture debt platform, offering debt capital to high-growth, venture-backed technology companies. Established in 2015 as a joint venture between Seviora, a wholly owned subsidiary of Temasek, and United Overseas Bank, InnoVen Capital has pioneered venture debt financing in the region. With offices in India, China, and Singapore, the firm actively supports talented founders in Asia in growing their businesses.    The firm's investment strategy focuses on providing flexible financing solutions to technology companies at various stages of growth, including early, growth, and late stages. InnoVen Capital's portfolio spans multiple industries, including technology, healthcare, consumer goods, financial services, media, education, logistics, energy, agriculture, transportation, retail, telecommunications, real estate, automotive, and manufacturing. The firm has invested over $1.7 billion across more than 720 debt transactions, supporting over 400 portfolio companies that have collectively raised over $54 billion in equity from investors.    InnoVen Capital's approach is founder-centric, emphasizing agility, speed, and consistent partnership. The firm offers a range of services, including venture debt financing, growth advisory, and strategic support, tailored to the unique needs of each portfolio company. By bridging the gap between innovation and opportunity, InnoVen Capital empowers businesses to scale efficiently and sustainably, contributing to the growth and success of the broader Asian technology ecosystem.</t>
  </si>
  <si>
    <t>Early Stage, Late Stage, Growth</t>
  </si>
  <si>
    <t>Financial Services, Technology, Healthcare, Energy, Consumer Goods, Real Estate, Telecommunications, Media, Automotive, Retail, Education, Agriculture, Logistics, Transportation, Pharmaceuticals, Manufacturing, Biotechnology</t>
  </si>
  <si>
    <t>Hong Kong, Singapore, China, India, Indonesia, Pakistan, Bangladesh, Vietnam, Mongolia, Malaysia, Afghanistan, Philippines, Thailand, Maldives, Sri Lanka, Nepal, Myanmar, Cambodia, Laos, Brunei</t>
  </si>
  <si>
    <t>High-growth, venture-backed technology companies seeking debt capital</t>
  </si>
  <si>
    <t>Byju's, Ola, Zomato, Swiggy, Paytm, OYO Rooms, Delhivery, BigBasket, Policybazaar, Dream11, Razorpay, Udaan, Freshworks, Cure.fit, UrbanClap, Lenskart, Rivigo, Rentomojo, Fynd, MobiKwik</t>
  </si>
  <si>
    <t>SPIL Ventures</t>
  </si>
  <si>
    <t>Surabaya, Jawa Timur</t>
  </si>
  <si>
    <t>Jawa Timur</t>
  </si>
  <si>
    <t>https://www.spilventures.com/</t>
  </si>
  <si>
    <t>proposal@spilventures.com</t>
  </si>
  <si>
    <t>SPIL Ventures is the corporate venture capital arm of Salam Pacific Indonesia Lines (SPIL), focusing on unlocking potential and accelerating success in Indonesia and Southeast Asia. They invest and accelerate the progress of promising venture projects to realize smart and efficient growth across the region, empowering bright sparks through innovation and technology. SPIL Ventures aims to create solutions and sustainable growth across industries by investing in leading digital tech logistics ecosystems.    Their investment strategy encompasses various stages, including early-stage, late-stage, and private equity investments. They have a diverse geographical focus, investing in countries such as Indonesia, Singapore, Malaysia, Thailand, Vietnam, the Philippines, Myanmar, Laos, Cambodia, Brunei, Timor-Leste, South Korea, Japan, China, India, Bangladesh, Pakistan, Nepal, Sri Lanka, and the Maldives. The industries they target include logistics, technology, supply chain, e-commerce, digital services, transportation, infrastructure, retail, consumer goods, manufacturing, healthcare, education, finance, media, and entertainment.    SPIL Ventures has made several investments, with their most recent being in Liquid8, a recommerce startup, in January 2025. They have also invested in Surplus Indonesia, a food and beverage marketplace, in January 2023, and Deliveree Logistics, a logistics company, in March 2022. Their investment sizes range from $1 million to $50 million, depending on the opportunity and stage of the company.</t>
  </si>
  <si>
    <t>Early Stage, Late Stage, Private Equity, Venture</t>
  </si>
  <si>
    <t>Technology, Healthcare, Consumer Goods, Infrastructure, Media, Finance, Retail, Education, HealthTech, EdTech, FinTech, E-commerce, Logistics, Transportation, Digital Services, Manufacturing, AgriTech, Entertainment, Mobility, Cleantech, Supply Chain</t>
  </si>
  <si>
    <t>United States, United Kingdom, Japan, Australia, Singapore, China, India, Indonesia, South Korea, Pakistan, Bangladesh, Vietnam, Malaysia, New Zealand, Philippines, Thailand, Maldives, Sri Lanka, Nepal, Myanmar, Cambodia, Laos, Brunei, Timor-Leste</t>
  </si>
  <si>
    <t>Tiger Global Management</t>
  </si>
  <si>
    <t>9 West 57th St, 35th Floor, New York, NY 10019</t>
  </si>
  <si>
    <t>https://www.tigerglobal.com/</t>
  </si>
  <si>
    <t>https://www.linkedin.com/company/tiger-global-management</t>
  </si>
  <si>
    <t>media@tigerglobal.com</t>
  </si>
  <si>
    <t>Tiger Global Management is a prominent private investment firm founded in 2001, focusing on both public and private investments in the global internet, software, consumer, and financial technology sectors. The firm employs a long-term investment approach, seeking to generate world-class returns for its investors. Its public equity business includes fundamentally oriented long/short, long-focused, and crossover strategies, targeting investments in high-quality, public growth companies. The private equity business invests in early through late-stage companies that pursue innovative approaches to new and existing industries, building on over 20 years of experience investing in hundreds of businesses in more than 30 countries with more than 90 portfolio company IPOs.    In April 2024, Tiger Global closed its 16th private equity fund at $2.2 billion, falling short of its $6 billion target. This fund focuses on partnering with founders, families, and management teams in high-potential lower-middle market businesses, particularly in sectors such as environmental solutions, niche manufacturing, and specialty services. The firm has a history of significant investments in technology and consumer sectors, with notable portfolio companies including Facebook, LinkedIn, and Spotify.    Despite recent challenges in the market, including a 20% loss in its $12.7 billion venture fund as of December 2022, Tiger Global continues to adapt its investment strategy. The firm is expected to raise close to $2 billion for its latest private fund, focusing on fewer, high-conviction investments. This approach reflects a return to its concentrated investment roots, aiming to leverage technological innovation in its portfolio companies. The firm's commitment to innovation and strategic investment positions it as a significant player in the global investment landscape.</t>
  </si>
  <si>
    <t>Financial Services, Technology, Healthcare, Energy, Real Estate, Materials, Telecommunications, Utilities, Media, Retail, Software, Education, Agriculture, Industrial, Consumer, Consumer Products, E-commerce, Transportation, Consumer Technology, Financial Technology, Manufacturing, Internet, Telecom</t>
  </si>
  <si>
    <t>United States, United Kingdom, China, India, Brazil, France, Mexico, Indonesia, South Korea, Saudi Arabia, Egypt, Turkey, Pakistan, Bangladesh, South Africa, Russia, Vietnam, Malaysia, Philippines, Thailand, Nigeria, Argentina, Uruguay</t>
  </si>
  <si>
    <t>High-quality growth companies, Technology-driven businesses, Global market presence, Innovative approaches to existing industries, Strong management teams, High-growth potential, Innovative business models, Experienced management teams, Scalable operations, Strong market position</t>
  </si>
  <si>
    <t>Alibaba, Facebook, LinkedIn, Stripe, Spotify, JD.com, Flipkart, Meituan, Didi Chuxing, ServiceTitan, Kajabi, ShareChat, Peloton, Freshworks, ByteDance, Cohere, OpenSea, Helium, FTX, MoonPay, Bored Ape Yacht Club, Worldcoin, All-State Industries, United Gasket Corp., io, OpenAI</t>
  </si>
  <si>
    <t>A15</t>
  </si>
  <si>
    <t>94, Street #105, Maadi, Cairo</t>
  </si>
  <si>
    <t>https://www.a15.com/</t>
  </si>
  <si>
    <t>https://www.linkedin.com/company/a15</t>
  </si>
  <si>
    <t>info@a15.com</t>
  </si>
  <si>
    <t>+20 2 25295800</t>
  </si>
  <si>
    <t>A15 is a venture capital firm that invests in early-stage technology companies across the Middle East and North Africa region, with a primary focus on Egypt. The firm specializes in pre-seed and seed investments, supporting startups in sectors such as Artificial Intelligence, E-Commerce, FinTech, and FoodTech. A15's portfolio includes notable companies like Kijami, Tpay, Connect Ads, and PayMob.  The firm's investment strategy emphasizes a founder-first approach, providing not only capital but also strategic support to help entrepreneurs scale their businesses. A15 operates across multiple countries, including Algeria, Tunisia, Morocco, Sudan, the United Arab Emirates, Saudi Arabia, Jordan, Yemen, Palestine, Pakistan, Bangladesh, Italy, Canada, and Qatar.  A15's commitment to fostering innovation is evident through its active participation in the startup ecosystem, offering resources and guidance to help companies navigate the challenges of early-stage growth. The firm's diverse portfolio reflects its dedication to empowering entrepreneurs and driving technological advancement in the region.</t>
  </si>
  <si>
    <t>Pre-Seed, Seed, Series A, Early Stage</t>
  </si>
  <si>
    <t>Retail, Consumer, HealthTech, FoodTech, EdTech, FinTech, E-commerce, Artificial Intelligence, Healthcare Services, Internet, Mobile, Enterprise Applications, Digital Advertising, Telecom, Payment Solutions, Healthcare Tech</t>
  </si>
  <si>
    <t>Canada, Italy, United Arab Emirates, Saudi Arabia, Qatar, Egypt, Tunisia, Morocco, Algeria, Pakistan, Jordan, Bangladesh, Palestine, Sudan, Yemen</t>
  </si>
  <si>
    <t>Innovative technology solutions, Scalable business models, Strong founding teams, Early-stage technology companies in the Middle East and North Africa region, with a focus on Egypt.</t>
  </si>
  <si>
    <t>Esaal, Grinta, SehaTech, Shezlong, Kijami, Tpay, Connect Ads, Paymob, Wuzzuf, Nowlun, Flapkap, OneOrder, The Fashion Kingdom</t>
  </si>
  <si>
    <t>Factor[e] Ventures</t>
  </si>
  <si>
    <t>430 N. College Ave, Fort Collins, Colorado 80524, USA</t>
  </si>
  <si>
    <t>Colorado</t>
  </si>
  <si>
    <t>https://www.factore.com</t>
  </si>
  <si>
    <t>https://www.linkedin.com/company/factor-e-ventures</t>
  </si>
  <si>
    <t>info@factore.com</t>
  </si>
  <si>
    <t>An impact venture builder focusing on de-carbonized solutions in emerging markets. Factor[e] Ventures invests in and supports companies addressing challenges in energy, agriculture, mobility, and waste. Their approach combines risk capital, technology, and deep market understanding to accelerate positive impact.    They employ a thesis-based investment strategy to identify market needs and use a combination of risk capital, technology, and local economic insights to drive innovation in emerging markets. Their approach involves incubating and scaling solutions where none exist, providing more than capital to early-stage companies, and equipping ventures with unmatched support, including their Engage Platform, to help scale businesses globally.    Their achievements include contributing to economic development, environmental sustainability, and community betterment through strategic investments in emerging markets.</t>
  </si>
  <si>
    <t>Technology, Energy, Infrastructure, Renewable Energy, Agriculture, HealthTech, EdTech, Transportation, AgriTech, Sustainability, Mobility, Transport and Logistics, Clean Energy, Waste Management, Environmental Services, Climate Change, Water, Social Impact, Waste management and recycling, Food Security, Clean technology and energy, Sanitation and hygiene, Water Access</t>
  </si>
  <si>
    <t>United States, India, Latin America, Mexico, Indonesia, Ghana, Kenya, South Asia, Pakistan, Bangladesh, South Africa, Ethiopia, Philippines, Nigeria, Zambia, Colombia, Peru, Uganda, Tanzania, Sri Lanka, Nepal, Senegal, Caribbean</t>
  </si>
  <si>
    <t>Innovative solutions addressing challenges in energy, agriculture, mobility, and waste, Focus on de-carbonized solutions in emerging markets, Early-stage companies seeking support in scaling their businesses</t>
  </si>
  <si>
    <t>Apollo Agriculture, Sistema.bio, Ampersand Solar, S4S, Clean Crop Technologies, Odyssey Energy Solutions, SparkMeter, InspiraFarms, Crofarm, 60Hertz, Open Access Energy, Sentry, Cinch, SunFi, enee.io, Ibisa, Gridless, Beacon Power Services, Figorr, Roam</t>
  </si>
  <si>
    <t>ePlanet Capital</t>
  </si>
  <si>
    <t>425 Page Mill Road, Suite 200, Palo Alto, California 94306</t>
  </si>
  <si>
    <t>https://www.eplanetcapital.com/</t>
  </si>
  <si>
    <t>https://www.linkedin.com/company/eplanetcapital</t>
  </si>
  <si>
    <t>siliconvalley@eplanetcapital.com</t>
  </si>
  <si>
    <t>+1 408 236 6500</t>
  </si>
  <si>
    <t xml:space="preserve">ePlanet Capital is a global venture capital firm investing in early-stage technology companies. With over 20 years of experience, the firm has developed a global presence with offices in Silicon Valley, Beijing, Bangalore, Seoul, London, and other locations. ePlanet Capital focuses on high-growth emerging markets, particularly in China and India, and has made over 100 investments to date.  The firm's investment strategy emphasizes identifying technology companies undergoing sustained growth, leveraging significant data analysis to measure key factors important for value creation. ePlanet Capital's portfolio spans various sectors, including technology, healthcare, media, telecommunications, and consumer products, with investments in companies such as Baidu, Skype, HiSoft, Focus Media, and Kong Zhong.  ePlanet Capital's philosophy centers on catalyzing the migration of disruptive innovation from developed markets to emerging markets, aiming to create value by supporting companies that can scale globally. The firm's team comprises professionals with diverse backgrounds, including Jerry Ilhyun Cho, Managing Partner, and Fredrik Brag, Venture Partner, who bring extensive experience in venture capital and technology sectors.  </t>
  </si>
  <si>
    <t>Early Stage, Late Stage, Private Equity, Seed, Series A, Series B, Growth, Pre-IPO, Buyout, Turnaround, Distressed</t>
  </si>
  <si>
    <t>Financial Services, Technology, Healthcare, Energy, Consumer Goods, Real Estate, Telecommunications, Media, Finance, Retail, Software, Education, Agriculture, Consumer, Consumer Products, FinTech, E-commerce, Logistics, Transportation, Hospitality, Pharmaceuticals, Medical Devices, Manufacturing, Internet, Semiconductors, Crypto, Consumer Internet, Autonomous Vehicles, Digital Video Surveillance</t>
  </si>
  <si>
    <t>United States, United Kingdom, Canada, Germany, Japan, Australia, Europe, Asia, Singapore, China, India, Brazil, France, Italy, United Arab Emirates, Latin America, Spain, Mexico, South Korea, Kuwait, Middle East, Pakistan, Netherlands, South Africa, Russia, MENA, Malaysia, Africa, Korea</t>
  </si>
  <si>
    <t>High growth potential, Ability to achieve category dominance, Sustained growth trajectory, Ability to achieve category dominance globally, Technology-driven innovation, High-growth technology companies, Emerging markets focus, Early-stage investments</t>
  </si>
  <si>
    <t>BodyMedia, Manthan, Spinal Modulation, Baidu, Skype, HiSoft, Focus Media, Kong Zhong, Moreens, iKang, Auro Mira, Continental Warehousing Corporation, Trivitron Healthcare, Sree Ramcides Chemicals, Silicon Mitus, Korea Bone Bank, Friendi Mobile, Naseeb Networks, eCommera, Greetz, Palringo, DirectFlow Medical</t>
  </si>
  <si>
    <t>Hidden Hill Capital</t>
  </si>
  <si>
    <t>Shanghai, China</t>
  </si>
  <si>
    <t>https://www.hiddenhillcap.com/</t>
  </si>
  <si>
    <t xml:space="preserve">Hidden Hill Capital is a private equity firm established in 2018, focusing on minority, significant minority, and strategic equity investments in companies involved in modern logistics services, digital supply chains, renewable energy, and related technologies across Asia. The firm manages over US$4 billion in assets under management across both RMB and USD private equity strategies, including its flagship Hidden Hill Modern Logistics Private Equity Fund, which was ranked the world’s second largest PropTech fund by PERE in 2021 and 2022.    The firm's investment strategy emphasizes leveraging GLP's global network and ecosystem to support portfolio companies' strategic plans, including cross-border expansion. Hidden Hill Capital has deep roots in China and Asia, with local teams possessing strong relationships with entrepreneurs and key industry leaders. This strategic positioning enables the firm to identify emerging technological trends and opportunities for innovation to improve the efficiency of the logistics ecosystem.    Over the past year, Hidden Hill successfully concluded two pan-Asian strategies: the USD-denominated Hidden Hill Foundation Fund, raising $465 million, and a separate managed account totaling $413 million in collaboration with a leading institutional investor. The firm has invested in approximately 100 companies in the fields of digital supply chain and logistics technology, including COSCO Shipping Logistics, China Southern Airlines Logistics, Ouyeel, Sany eTrucks, Farizon Auto, J&amp;T Express, Zongteng Group, G7, Inceptio Technology, LiBiao Robot, SEER, and more. Hidden Hill Capital has been ranked by Private Equity International as one of the largest China-headquartered managers and named by Private Equity Real Estate as the world’s second largest PropTech manager for three consecutive years from 2021-2023.    </t>
  </si>
  <si>
    <t>Early Stage, Growth, Late Stage, Pre-IPO</t>
  </si>
  <si>
    <t>Financial Services, Technology, Healthcare, Consumer Goods, Real Estate, Telecommunications, Media, Automotive, Retail, Education, Renewable Energy, Agriculture, E-commerce, Logistics, Artificial Intelligence, Robotics, Supply Chain, Electric Vehicles, Digital Infrastructure, Battery Recycling, Industrial Equipment, Food Supply Chain</t>
  </si>
  <si>
    <t>Hong Kong, Japan, Australia, Singapore, China, India, Indonesia, South Korea, Pakistan, Bangladesh, Vietnam, Mongolia, Malaysia, New Zealand, Philippines, Thailand, Taiwan, Sri Lanka, Nepal, Myanmar, Cambodia, Laos, Macau, Brunei</t>
  </si>
  <si>
    <t>Growth-stage companies, Modern logistics services, Digital supply chain solutions, Renewable energy technologies, Cross-border expansion opportunities in Asia, Focus on modern logistics services, digital supply chains, renewable energy, and related technologies, Target companies in Asia with potential for cross-border expansion, Preference for minority, significant minority, and strategic equity investments</t>
  </si>
  <si>
    <t>COSCO Shipping Logistics, China Southern Airlines Logistics, Ouyeel, Sany eTrucks, Farizon Auto, J&amp;T Express, Zongteng Group, G7, Inceptio Technology, LiBiao Robot, SEER</t>
  </si>
  <si>
    <t>Volcanics Venture</t>
  </si>
  <si>
    <t>Changning, Shanghai, China</t>
  </si>
  <si>
    <t>Shanghai</t>
  </si>
  <si>
    <t>https://www.volcanics.com</t>
  </si>
  <si>
    <t>Volcanics Venture is a venture capital firm based in Shanghai, China, specializing in early and growth-stage investments in internet innovation and healthcare sectors. The firm identifies, invests in, and supports promising companies and outstanding entrepreneurs in these fields.    Founded in May 2016, Volcanics Venture is led by Managing Partners Suyang Zhang, Yeshun Dong, and Ying Wu, who collectively bring over 60 years of experience in venture capital investment and corporate management. Their expertise spans internet innovation, intelligent technology, and healthcare industries.    The firm's investment strategy focuses on providing sustainable value-added services to portfolio companies, aiming to deliver superior returns to limited partners. Volcanics Venture has a track record of successful investments in companies such as Ctrip.com, Kanghui Medical, Eachnet.com, Home Inn, Tudou.com, Geek+, Gene+, OrigiMed, Jianke, and others.</t>
  </si>
  <si>
    <t>Technology, Healthcare, Energy, Media, Education, Agriculture, HealthTech, EdTech, FinTech, E-commerce, Logistics, Artificial Intelligence, Blockchain, Consumer Technology, Gaming, Biotech, Entertainment, Medtech, Supply Chain, Software Technology, Intelligent Technology, Internet Innovation</t>
  </si>
  <si>
    <t>United States, Singapore, China, India, Indonesia, Pakistan, Bangladesh, Vietnam, Malaysia, Philippines, Thailand, Maldives, Sri Lanka, Nepal, Bhutan, Myanmar, Cambodia, Laos, Brunei, Timor-Leste</t>
  </si>
  <si>
    <t>High growth potential, Innovative technology, Strong management team, Strong growth potential, Innovative business models, Experienced management teams, Scalable operations, Competitive market positioning</t>
  </si>
  <si>
    <t>Triastek, Alluxio, Zenlayer, Geek+, RootPath Genomics, Oncologie, Ctrip.com, Kanghui Medical, Eachnet.com, Home Inn, Tudou.com, Gene+, OrigiMed, Jianke</t>
  </si>
  <si>
    <t>CPE</t>
  </si>
  <si>
    <t>15/F, Jinbao Tower No. 89 Jinbao Street, Dongcheng District Beijing, China</t>
  </si>
  <si>
    <t>https://www.cpe-fund.com/en/</t>
  </si>
  <si>
    <t>https://www.linkedin.com/company/citic-private-equity-funds-management</t>
  </si>
  <si>
    <t>irteam@cpe-fund.com</t>
  </si>
  <si>
    <t>+86 10 8507 9000</t>
  </si>
  <si>
    <t>CPE is a Chinese alternative asset manager specializing in private equity investments across various sectors. The firm manages assets totaling over RMB150 billion, supported by more than 200 domestic and international institutional investors. CPE's investment focus spans technology and industrial, consumer and healthcare, and infrastructure sectors. The firm employs a fundamentals-driven approach, emphasizing long-term value creation through strategic investments. CPE's portfolio includes over 100 companies diversified by sector and investment stage, reflecting its commitment to sustainable growth and value generation. The firm has received multiple accolades, including the Best Global Private Equity Fund Gold Award at the 2019 Private Equity Exchange &amp; Awards, marking its second consecutive win in this category. This recognition underscores CPE's strong performance and reputation in the international investment community. CPE's offices are located in Beijing, Shanghai, Hong Kong, Tokyo, New York, and Abu Dhabi, reflecting its global presence and commitment to cross-border investment opportunities. The firm's investment philosophy centers on creating value through expertise and investing for a better world, aiming to build long-term relationships with portfolio companies to drive sustainable growth and value creation. CPE's dedication to responsible investment is evident in its adherence to ESG principles, as demonstrated by its 2024 ESG and CSR Report, which outlines the firm's commitment to environmental, social, and governance standards. This report highlights CPE's efforts in promoting ESG practices within the private equity sector and its dedication to creating positive societal impact through its investments.     CPE's investment strategy is characterized by a disciplined approach, focusing on sectors where it possesses deep industry knowledge and can add significant value. The firm's team comprises professionals with extensive experience in financial, advisory, and operational roles both in China and globally. This expertise enables CPE to identify and capitalize on investment opportunities that align with its long-term value creation objectives. The firm's portfolio companies benefit from CPE's active involvement, which includes strategic guidance, operational support, and access to a broad network of industry contacts. This hands-on approach has contributed to the successful growth and development of its investee companies.     In addition to its investment activities, CPE is committed to thought leadership in the asset management industry. The firm's management team has delivered keynote speeches at influential forums, sharing insights on ESG management, corporate governance, and talent cultivation. These engagements reflect CPE's dedication to promoting best practices and fostering a culture of responsible investment within the industry. The firm's recognition at the 2019 Private Equity Exchange &amp; Awards further highlights its standing as a leading private equity firm with a strong track record of success and a commitment to excellence in investment management.</t>
  </si>
  <si>
    <t>Private Equity, Mezzanine, Public Market</t>
  </si>
  <si>
    <t>Financial Services, Technology, Healthcare, Energy, Consumer Goods, Real Estate, Infrastructure, Telecommunications, Media, Automotive, Industrial Manufacturing, Retail, Software, Education, Agriculture, Industrial, Business Services, Consumer, Transportation, Media and Entertainment</t>
  </si>
  <si>
    <t>United States, United Kingdom, Canada, Germany, Hong Kong, Japan, Australia, Singapore, China, India, Brazil, France, Italy, United Arab Emirates, Switzerland, Spain, Indonesia, South Korea, Pakistan, Bangladesh, Netherlands, Russia, Vietnam, Malaysia, Philippines, Sweden, Thailand, Sri Lanka</t>
  </si>
  <si>
    <t>Strong market position, Scalable business model, Experienced management team, Potential for value creation and sustainable growth, Focus on growth, late-stage, pre-IPO, and buyout opportunities, Preference for investments in technology, healthcare, consumer goods, industrial manufacturing, and infrastructure sectors, Interest in companies with significant operations or market presence in China and other key global markets</t>
  </si>
  <si>
    <t>Didi, JD Health, Wind Information, Sinovant, Cytovant Sciences</t>
  </si>
  <si>
    <t>DCP Capital</t>
  </si>
  <si>
    <t>Beijing, China</t>
  </si>
  <si>
    <t>https://www.dcpcapital.com</t>
  </si>
  <si>
    <t>info@dcpcapital.com</t>
  </si>
  <si>
    <t>DCP Capital is a Chinese private equity firm headquartered in Beijing, China. The firm focuses on the consumer, healthcare, education, and technology sectors in Asia. DCP has additional offices in Hong Kong and Shanghai. The firm was founded in 2017 by David Liu and Julian Wolhardt, who previously held positions at Kohlberg Kravis Roberts. DCP Capital has raised significant funds, including a $2.5 billion raise out of a $3 billion target for its second fund in June 2022. The State Board of Administration of Florida was one of the investors and committed $100 million to the fund. DCP Capital has been involved in various investments and has a strong presence in the Asian private equity market.    DCP Capital's investment strategy focuses on sectors such as consumer, healthcare, education, and technology, aiming to capitalize on growth opportunities in these industries across Asia. The firm has a track record of raising substantial funds and has attracted investments from notable institutional investors. DCP Capital's approach combines deep industry expertise with a commitment to driving value creation in its portfolio companies.    DCP Capital's leadership includes David Liu as Chairman and Julian Wolhardt as CEO. The firm has offices in Beijing, Hong Kong, and Shanghai, positioning it strategically to leverage opportunities across the Asian market. DCP Capital's focus on consumer, healthcare, education, and technology sectors reflects its commitment to investing in industries with strong growth potential in the region.</t>
  </si>
  <si>
    <t>Technology, Healthcare, Education, Consumer</t>
  </si>
  <si>
    <t>United States, Canada, Hong Kong, Japan, Singapore, China, India, Indonesia, South Korea, Pakistan, Bangladesh, Vietnam, Mongolia, Malaysia, Afghanistan, Philippines, Thailand, Sri Lanka, Nepal, Myanmar, Cambodia, Laos</t>
  </si>
  <si>
    <t>BlueOrchard Impact Investment Managers</t>
  </si>
  <si>
    <t>Seefeldstrasse 233, 8008 Zurich</t>
  </si>
  <si>
    <t>+41 44 441 55 50</t>
  </si>
  <si>
    <t>BlueOrchard Impact Investment Managers is a leading global impact investment manager dedicated to generating positive social and environmental impact alongside financial returns. Founded in 2001 by the United Nations, the firm was the first commercial manager of microfinance debt investments worldwide. Over the years, BlueOrchard has expanded its investment offerings to include private equity, private debt, publicly traded debt, and other asset classes, connecting millions of entrepreneurs in emerging and frontier markets with investors.    The firm's investment strategy focuses on fostering inclusive and climate-smart growth, aiming to provide attractive returns for investors while addressing global challenges. BlueOrchard's investments span various sectors, including financial services, energy, infrastructure, healthcare, education, agriculture, technology, real estate, telecommunications, transportation, consumer goods, manufacturing, retail, media, and hospitality. The firm operates across a wide geographical footprint, investing in over 100 countries, with a particular emphasis on emerging and frontier markets.    BlueOrchard's commitment to impact investing is demonstrated through its B.Impact™ Framework, which assesses investments based on environmental, social, and governance (ESG) criteria, potential impact, and alignment with the United Nations Sustainable Development Goals (SDGs). The firm has been recognized for its impact management practices, being included in BlueMark's Practice Leaderboard, which highlights impact investors with best-in-class impact management systems and practices. As of December 2024, BlueOrchard has supported over 300 million people in emerging and frontier markets with its investments, underscoring its dedication to creating lasting positive change through impact investing.</t>
  </si>
  <si>
    <t>Private Equity, Private Debt, Publicly Traded Debt, Other</t>
  </si>
  <si>
    <t>Singapore, China, India, United Arab Emirates, Mexico, Indonesia, Ghana, Kenya, South Korea, Qatar, Oman, Egypt, Tunisia, Libya, Morocco, Algeria, Lebanon, Turkey, Pakistan, Jordan, Bangladesh, Somalia, South Africa, Vietnam, Mongolia, Malaysia, Afghanistan, Bosnia and Herzegovina, Niger, Sudan, Mali, Chad, Ethiopia, Djibouti, Mauritania, Yemen, Philippines, Thailand, Nigeria, Rwanda, Zambia, Argentina, Colombia, Peru, Romania, Taiwan, Syria, Comoros, Sao Tome and Principe, Eritrea, Uganda, Tanzania, Burundi, South Sudan, Mauritius, Maldives, Sri Lanka, Nepal, Bhutan, Cambodia, Laos, El Salvador, Bolivia, Panama, Venezuela, Georgia, Dominican Republic, Costa Rica, Cape Verde, Cameroon, Senegal, Côte d'Ivoire, Mozambique, Angola, Ukraine, North Macedonia, Albania, Moldova, Armenia, Ecuador, Paraguay, Guatemala, Honduras, Nicaragua, Kazakhstan, Uzbekistan, Kyrgyzstan, Papua New Guinea, Jamaica, Turkmenistan, Tajikistan, Benin, Zimbabwe, Gabon, Namibia, Malawi, Sierra Leone, Liberia, Burkina Faso, Central African Republic, Congo (Congo-Brazzaville), Congo (Congo-Kinshasa), Gambia, Guinea, Guinea-Bissau, Kiribati, Lesotho, Madagascar, Solomon Islands, Suriname, Togo, Vanuatu, West Bank and Gaza, Timor-Leste, Fiji, Micronesia, Palau, Tonga, Tuvalu, North Korea, Myanmar (Burma)</t>
  </si>
  <si>
    <t>Grameen Bank, Equity Bank, FINCA International, Kiva, MicroEnsure, M-KOPA Solar, Jumia, Safaricom, Olam International, Airtel Africa, Tata Power, First Solar, Vestas, Siemens Gamesa, Brookfield Renewable Partners, NextEra Energy, Enel, Iberdrola, Orsted, TotalEnergies</t>
  </si>
  <si>
    <t>Golden Concord Asia</t>
  </si>
  <si>
    <t>Room 1905, 19th Floor, China Resources Building, 26 Harbour Road, Wanchai, Hong Kong</t>
  </si>
  <si>
    <t>https://www.cfgold.com</t>
  </si>
  <si>
    <t>IR@cfgold.com</t>
  </si>
  <si>
    <t>86-10-53232310</t>
  </si>
  <si>
    <t xml:space="preserve">Golden Concord Asia is a Hong Kong-based private investment firm specializing in real estate and infrastructure projects across Asia. The firm focuses on large-scale developments, including residential, commercial, and mixed-use properties, as well as energy and telecommunications infrastructure projects. Their investment approach emphasizes strategic partnerships and long-term value creation.  The firm's investment strategy targets growth, late-stage, and buyout opportunities, primarily in China and Hong Kong, with additional interests in other Asian markets such as Singapore, Japan, South Korea, and Australia. Golden Concord Asia seeks to invest in sectors including real estate, infrastructure, energy, telecommunications, and financial services, among others.  Golden Concord Asia has a track record of successful investments in various sectors, demonstrating a commitment to enhancing value through strategic management and operational improvements. Their portfolio reflects a diversified approach, aiming to capitalize on growth opportunities across the Asia-Pacific region.  </t>
  </si>
  <si>
    <t>Infrastructure, Real Estate</t>
  </si>
  <si>
    <t>Hong Kong, Japan, Australia, Singapore, China, India, Indonesia, South Korea, Pakistan, Bangladesh, Vietnam, Mongolia, Malaysia, Philippines, Thailand, Sri Lanka, Nepal, Myanmar, Cambodia, Laos</t>
  </si>
  <si>
    <t>Focus on real estate and infrastructure projects, Preference for growth, late-stage, and buyout opportunities, Geographical focus on Asia, particularly China and Hong Kong, Interest in sectors including energy, telecommunications, and financial services</t>
  </si>
  <si>
    <t>Istithmar Hotels</t>
  </si>
  <si>
    <t>Level-15 Conrad Building, Sheikh Zayed Road, Dubai</t>
  </si>
  <si>
    <t>https://istithmar.world</t>
  </si>
  <si>
    <t>info@istithmarworldventures.com</t>
  </si>
  <si>
    <t>+971 4 3680775</t>
  </si>
  <si>
    <t>A Dubai-based private investment firm specializing in global hospitality assets. Established in April 2006, Istithmar Hotels is the hospitality asset management arm of Istithmar, which is wholly owned by Dubai World, a government-owned company. The firm focuses on managing and investing in luxury hotel properties worldwide, including high-end, boutique, and budget hotels in strategic locations such as London, Paris, New York, China, India, Pakistan, the Middle East, and North Africa.    Istithmar Hotels employs a buyout and growth investment strategy, targeting iconic properties in key gateway cities and emerging markets. The firm's portfolio includes notable assets like Atlantis, The Palm in Dubai, and the Mandarin Oriental New York. In 2006, Istithmar Hotels acquired a majority stake in the Mandarin Oriental New York, purchasing 73% of the property for $340 million. The firm also completed the purchase of the W Hotel Union Square in New York for $285 million in 2006.    In 2007, Dubai World consolidated its hotel business under the Nakheel Hotels brand, merging Istithmar Hotels with Nakheel to create a fully integrated hotel investment company. This consolidation aimed to streamline operations and enhance the management of Dubai World's hospitality assets. The merged entity remains a wholly owned subsidiary of Dubai World, reflecting the government's commitment to the hospitality sector and its strategic importance in the global market.</t>
  </si>
  <si>
    <t>Buyout, Growth</t>
  </si>
  <si>
    <t>Financial Services, Technology, Healthcare, Energy, Real Estate, Telecommunications, Utilities, Media, Retail, Education, Agriculture, Industrial, Consumer, Transportation, Food and Beverage, Hospitality, Construction, Pharmaceuticals, Entertainment, Leisure, Aviation</t>
  </si>
  <si>
    <t>United States, United Kingdom, China, India, France, United Arab Emirates, Saudi Arabia, Kuwait, Egypt, Tunisia, Libya, Morocco, Algeria, Lebanon, Bahrain, Pakistan, Jordan, South Africa, Malta, Scotland</t>
  </si>
  <si>
    <t>Established luxury hotel properties, Strategic locations in key gateway cities and emerging markets, Opportunities for value enhancement through operational improvements or repositioning</t>
  </si>
  <si>
    <t>Atlantis, The Palm, Mandarin Oriental New York, W Hotel Union Square</t>
  </si>
  <si>
    <t>Eureeca</t>
  </si>
  <si>
    <t>3rd Floor, Waverley House, 7-12 Noel Street, London</t>
  </si>
  <si>
    <t>http://www.eureeca.com</t>
  </si>
  <si>
    <t>http://www.linkedin.com/company/eureeca</t>
  </si>
  <si>
    <t>contactus@eureeca.com</t>
  </si>
  <si>
    <t>+44 207 256 4295</t>
  </si>
  <si>
    <t>Eureeca is a pioneering equity crowdfunding platform that connects businesses with a diverse network of investors, facilitating capital raising for growth-stage companies. The platform operates under the regulatory oversight of the UK's Financial Conduct Authority (FCA), ensuring compliance and investor protection. Eureeca's innovative approach democratizes access to investment opportunities, allowing both individual and institutional investors to participate in funding high-potential businesses across various sectors and geographies.    The platform's investment focus spans multiple stages, including Pre-Seed, Seed, Early Stage, Series A, Series B, Growth, Late Stage, and Pre-IPO, catering to a wide range of business development phases. Eureeca's geographical reach encompasses regions such as the United Kingdom, United Arab Emirates, Malaysia, Netherlands, Saudi Arabia, Jordan, Singapore, Indonesia, Thailand, Philippines, Vietnam, Pakistan, Bangladesh, India, China, Australia, New Zealand, South Africa, Nigeria, and Kenya. This extensive coverage enables investors to access a diverse array of opportunities in both developed and emerging markets.    Eureeca's portfolio includes companies across various industries, such as Technology, Healthcare, Real Estate, Financial Services, Consumer Goods, Energy, Media, Education, Transportation, Food &amp; Beverage, Retail, Telecommunications, Manufacturing, Agriculture, and Tourism. This broad industry representation reflects the platform's commitment to supporting a wide range of sectors, fostering innovation and growth in multiple domains. By leveraging its extensive network and regulatory compliance, Eureeca continues to play a significant role in the global investment landscape, bridging the gap between investors and promising businesses seeking capital for expansion and development.</t>
  </si>
  <si>
    <t>Financial Services, Technology, Healthcare, Energy, Consumer Goods, Real Estate, Telecommunications, Media, Retail, Education, Agriculture, Transportation, Manufacturing, Food &amp; Beverage, Tourism</t>
  </si>
  <si>
    <t>United Kingdom, Australia, Singapore, China, India, United Arab Emirates, Indonesia, Kenya, Saudi Arabia, Pakistan, Jordan, Bangladesh, Netherlands, South Africa, Vietnam, Malaysia, New Zealand, Philippines, Thailand, Nigeria</t>
  </si>
  <si>
    <t>Regulatory compliance, Investor accreditation</t>
  </si>
  <si>
    <t>Cabture, Foodlve, Nabbesh, elGrocer, Udrive, Search in MENA.com, One Moto Technologies, EBen.work, Turpal</t>
  </si>
  <si>
    <t>TIAA-CREF Emerging Markets Equity Index Fund Retail Class</t>
  </si>
  <si>
    <t>251 Little Falls Drive, Wilmington</t>
  </si>
  <si>
    <t>https://www.tiaa.org/public/investment-products/mutual-funds/emerging-markets-equity-index-fund-retail-class</t>
  </si>
  <si>
    <t>800-842-2252</t>
  </si>
  <si>
    <t>The TIAA-CREF Emerging Markets Equity Index Fund Retail Class is a mutual fund that aims to replicate the performance of the MSCI Emerging Markets Index by investing in a diversified portfolio of equities from emerging market economies. The fund primarily focuses on large and mid-cap companies across various sectors, including technology, financial services, consumer goods, and energy. Its objective is to provide investors with exposure to the growth potential of emerging markets while maintaining a risk profile similar to the benchmark index.    The fund employs a passive investment strategy, utilizing a full replication method to closely mirror the index's composition and performance. This approach involves holding all or a representative sample of the securities in the index, weighted according to their market capitalization. By doing so, the fund aims to achieve returns that closely correspond to those of the MSCI Emerging Markets Index, minus fees and expenses.    Investors in the Retail Class of the fund benefit from a lower minimum investment requirement compared to other classes, making it accessible to a broader range of individuals. The fund's expense ratio is competitive, reflecting its passive management style. It is suitable for investors seeking long-term capital appreciation through exposure to emerging markets, with a focus on cost efficiency and broad diversification.</t>
  </si>
  <si>
    <t>Financial Services, Technology, Healthcare, Energy, Consumer Goods, Industrials, Real Estate, Materials, Telecommunications, Utilities, Media, Automotive, Retail, Transportation, Pharmaceuticals, Consumer Services, Food &amp; Beverage, Chemicals, Basic Materials, Consumer Non-Durables</t>
  </si>
  <si>
    <t>United States, China, India, Brazil, Mexico, Indonesia, South Korea, Egypt, Turkey, Pakistan, South Africa, Russia, Malaysia, Philippines, Thailand, Nigeria, Chile, Argentina, Colombia, Taiwan</t>
  </si>
  <si>
    <t>Minimum initial investment: $2,500, Subsequent investments: No minimum</t>
  </si>
  <si>
    <t>Taiwan Semiconductor Manufacturing Company, Tencent Holdings, Alibaba Group Holding, Samsung Electronics, SK Hynix, HDFC Bank, Reliance Industries, China Construction Bank, Xiaomi, Hon Hai Precision Industry</t>
  </si>
  <si>
    <t>Matthews International Capital Management, LLC</t>
  </si>
  <si>
    <t>Four Embarcadero Center, Suite 550, San Francisco, CA 94111</t>
  </si>
  <si>
    <t>https://www.matthewsasia.com</t>
  </si>
  <si>
    <t>advisorservices@matthewsfunds.com</t>
  </si>
  <si>
    <t>+1 (415) 788-7553</t>
  </si>
  <si>
    <t>Matthews International Capital Management, LLC is an independent investment management firm specializing in Asia-focused equity strategies. Founded in 1991, the firm is headquartered in San Francisco, California, and manages assets across various investment vehicles, including mutual funds, separate accounts, and UCITS funds. Matthews Asia offers a range of investment solutions tailored to meet the needs of individual and institutional investors seeking exposure to Asian markets.    The firm's investment approach is characterized by active management, a long-term focus, and on-the-ground fundamental research. Matthews Asia's portfolio managers conduct in-depth research to identify compelling investment opportunities across the Asia-Pacific region, aiming to deliver superior risk-adjusted returns. The firm emphasizes high active share, ensuring that its portfolios differ substantially from benchmarks.    With nearly 30 years of experience, Matthews Asia has built a reputation for its disciplined investment philosophy and commitment to client success. The firm's team comprises investment professionals with deep expertise in emerging markets, particularly within Asia. Matthews Asia's dedication to active management and its focus on Asia have positioned it as a leading investment manager in the region.</t>
  </si>
  <si>
    <t>Accredited investors only, Investment horizon: 5+ years, High net worth individuals and institutional investors</t>
  </si>
  <si>
    <t>Alibaba Group, Tencent Holdings, Samsung Electronics, Taiwan Semiconductor Manufacturing Company, Sony Corporation, Toyota Motor Corporation, AIA Group, Reliance Industries, Baidu, JD.com, Meituan Dianping, Ping An Insurance, China Mobile, HDFC Bank, Samsung Biologics, China Construction Bank, ICICI Bank, China Petroleum &amp; Chemical Corporation, China Merchants Bank, China Life Insurance Company</t>
  </si>
  <si>
    <t>AKD Securities Limited</t>
  </si>
  <si>
    <t>602, Continental Trade Centre, Block-08, Clifton, Karachi</t>
  </si>
  <si>
    <t>https://www.akdsl.com</t>
  </si>
  <si>
    <t>info@akdsl.com</t>
  </si>
  <si>
    <t>92 21 111 253 111</t>
  </si>
  <si>
    <t>AKD Securities Limited is a prominent securities firm in Pakistan, providing a wide array of investor-focused services, including equity brokerage, economic and securities research, investment banking, and financial advisory services. The company was incorporated in 1962 and is headquartered in Karachi, Sindh. It operates as a subsidiary of AKD Group Holdings (Private) Limited.  The firm's core strategy emphasizes exceeding client expectations through excellence across the financial services spectrum. AKD Securities has pioneered several initiatives, such as introducing Pakistan's first online trading platform. Its market-leading domestic and foreign institutional brokerage is supported by a globally recognized independent research unit. The company's Investment Banking and Advisory business has achieved a 30% market share in all fresh capital raised over the past decade, driving growth across Pakistan's capital markets through growth capital.  AKD Securities Limited has consistently maintained a market-leading share of approximately 12.5% of the Daily Traded Volume at the Pakistan Stock Exchange. Its diversified institutional and retail client base enables the execution of regular orders, large block trades, and private placements with speed, efficiency, and minimal impact cost. The firm's sales teams are trained to provide clients with real-time actionable updates by analyzing breaking news, followed by impact assessments through its research team, ensuring clients stay ahead of the curve in terms of information efficiency.</t>
  </si>
  <si>
    <t>Equity, Fixed Income (Debt and Bonds), Commodities, Foreign Exchange</t>
  </si>
  <si>
    <t>Financial Services, Investment Banking, Research, Brokerage, Advisory Services</t>
  </si>
  <si>
    <t>Tejara Capital</t>
  </si>
  <si>
    <t>15th Floor, 33 Cavendish Square, London W1G 0PW</t>
  </si>
  <si>
    <t>https://www.tejaracapital.com/</t>
  </si>
  <si>
    <t>https://www.linkedin.com/company/tejara-capital</t>
  </si>
  <si>
    <t>info@tejaracapital.com</t>
  </si>
  <si>
    <t>+44 20 7907 8550</t>
  </si>
  <si>
    <t>Tejara Capital is an international investment bank with offices in London and Dubai, offering investment banking, advisory, and asset management services. The firm is authorized by the Financial Conduct Authority in London and regulated by the Dubai Financial Services Authority in Dubai. Tejara Capital specializes in structuring transactions and identifying investors across various industries, including manufacturing, hospitality, real estate, and fund management. The firm provides innovative equity and traditional debt solutions, with a particular focus on Sharia-compliant financing, and has significant links to major financial institutions and investors, especially in the Middle East.    The firm's services encompass Islamic finance, real estate advisory and management, financial advisory and corporate finance, investment advisory, and fund management. Tejara Capital has a history of advising clients seeking to tap both traditional and Islamic markets for funding. The firm has been involved in high-profile transactions, some of which it continues to hold to date.    Tejara Capital's mission is to bridge Sharia-compliant and traditional financial markets, serving as a gateway to a multitude of attractive investment opportunities sourced from the developed world. The firm leverages its unique position, expertise, and networks to provide dedicated, best-in-class financial services to its clients.</t>
  </si>
  <si>
    <t>Private Equity, Real Estate, Infrastructure, Hedge Funds, Venture Capital</t>
  </si>
  <si>
    <t>Financial Services, Technology, Healthcare, Energy, Consumer Goods, Real Estate, Telecommunications, Utilities, Media, Education, Agriculture, Transportation, Hospitality, Manufacturing, Fund Management</t>
  </si>
  <si>
    <t>United States, United Kingdom, Japan, Australia, China, India, United Arab Emirates, Indonesia, South Korea, Saudi Arabia, Qatar, Kuwait, Oman, Egypt, Lebanon, Bahrain, Turkey, Pakistan, Jordan, Malaysia, New Zealand</t>
  </si>
  <si>
    <t>Strong financial performance, Established market presence, Alignment with Tejara Capital's investment strategy, Potential for growth and value creation, Ability to meet Sharia-compliant financing criteria</t>
  </si>
  <si>
    <t>Aston Martin Lagonda, Grosvenor House Suites, 2R Capital S.p.A.</t>
  </si>
  <si>
    <t>CDH Fund V, L.P.</t>
  </si>
  <si>
    <t>5 Dongsanhuan Central Road, Chaoyang District, Beijing</t>
  </si>
  <si>
    <t>CDH Fund V, L.P. is a prominent private equity fund managed by CDH Investments, a Chinese alternative asset management firm established in 2002. The fund specializes in private equity, venture capital, real estate, private credit, public equities, mezzanine, wealth management, and fund of funds, with a diversified portfolio across multiple industries and regions. As of December 31, 2023, CDH Fund V, along with other funds managed by CDH Investments, had collectively invested over US$3.4 billion in 71 portfolio companies.    The fund's investment strategy encompasses a wide range of stages, including early stage, growth, late stage, buyout, pre-seed, seed, Series A, Series B, pre-IPO, turnaround, and distressed investments. Geographically, CDH Fund V focuses on a diverse array of countries, including China, the United States, the United Kingdom, Canada, Germany, Hong Kong, Japan, Australia, Singapore, India, Brazil, France, the United Arab Emirates, Mexico, Indonesia, South Korea, Saudi Arabia, Pakistan, Bangladesh, South Africa, Russia, Vietnam, Malaysia, the Philippines, Thailand, the Maldives, Sri Lanka, Nepal, Myanmar, Cambodia, Laos, Brunei, and Timor-Leste.    CDH Fund V has a strong track record of investing in various industries, such as financial services, technology, healthcare, energy, consumer goods, real estate, telecommunications, media, automotive, industrial manufacturing, retail, education, agriculture, logistics, and transportation. The fund has invested in over 180 companies, with more than 50 successfully listing on international and China's domestic stock exchanges. As of 2016, these companies employed over 500,000 people and played a significant role in China's economy. Notable portfolio companies include Mengniu Dairy, Li-Ning, Focus Media, Yurun Food, China Merchants Bank, Belle International, LDK, AirMedia, CNInsure, Joyoung, Shanshui Cement, Modern Dairy, Hanting Hotel, Kanghui Medical, TSL Jewelry, M&amp;G Stationery, Xueda Education, Qihoo 360, Midea, WH Group, Luye Pharma, Nanfu Battery, and Baroque Japan Limited.    CDH Fund V's investment philosophy centers on creating value for all partners, including investors and portfolio companies. The fund maintains close cooperative partnerships with over 100 international and local institutional investors, embodying a value-driven and partner-focused approach in its investment decisions. This strategy has contributed to the fund's success in fostering growth and building successful companies across various sectors and regions.</t>
  </si>
  <si>
    <t>Financial Services, Technology, Healthcare, Energy, Consumer Goods, Real Estate, Telecommunications, Media, Automotive, Industrial Manufacturing, Retail, Education, Agriculture, Logistics, Transportation</t>
  </si>
  <si>
    <t>Overlook Investments Limited</t>
  </si>
  <si>
    <t>22/F Ruttonjee House, 11 Duddell Street, Central, Hong Kong</t>
  </si>
  <si>
    <t>Central and Western District</t>
  </si>
  <si>
    <t>https://www.overlookinv.com</t>
  </si>
  <si>
    <t>admin@overlookinv.com</t>
  </si>
  <si>
    <t>+852-29120800</t>
  </si>
  <si>
    <t>Overlook Investments Limited is a Hong Kong-based private investment firm specializing in public equity markets throughout Asia, excluding Japan. Founded in 1991, the firm has established a strong presence in the region, focusing on delivering value to its investors through strategic investments.  The firm's investment strategy encompasses a diverse range of asset classes, including equity, fixed income, real estate, private equity, and venture capital. Overlook Investments Limited targets various stages of investment, from early-stage ventures to late-stage buyouts and pre-IPO opportunities, aiming to capitalize on growth potential across different market segments.  With a comprehensive geographical focus spanning multiple Asian countries, the firm seeks to identify and invest in high-potential industries such as technology, healthcare, consumer goods, and financial services. This broad industry focus enables Overlook Investments Limited to leverage emerging trends and opportunities across the Asian market landscape.  Over the years, Overlook Investments Limited has built a reputation for its disciplined investment approach and commitment to generating long-term value for its stakeholders. The firm's experienced team employs rigorous analysis and strategic insight to navigate the complexities of the Asian markets, striving to achieve superior risk-adjusted returns for its investors.  As of December 2025, Overlook Investments Limited continues to operate actively, maintaining its dedication to excellence in investment management and its focus on the dynamic Asian public equity markets.</t>
  </si>
  <si>
    <t>Equity, Fixed Income, Real Estate, Private Equity, Venture Capital</t>
  </si>
  <si>
    <t>Financial Services, Technology, Healthcare, Energy, Consumer Goods, Real Estate, Telecommunications, Utilities, Media, Retail, Education, Agriculture, Transportation, Industrial Goods, Tourism</t>
  </si>
  <si>
    <t>Hong Kong, Singapore, China, India, Indonesia, South Korea, Pakistan, Bangladesh, Vietnam, Mongolia, Malaysia, Philippines, Thailand, Taiwan, Sri Lanka, Nepal, Myanmar, Cambodia, Laos, Brunei</t>
  </si>
  <si>
    <t>Keppel Asia Infrastructure Fund</t>
  </si>
  <si>
    <t>1 HarbourFront Avenue, #18-01 Keppel Bay Tower, Singapore 098632</t>
  </si>
  <si>
    <t>https://www.keppelasiainfrafund.com</t>
  </si>
  <si>
    <t>info@keppelasiainfrafund.com</t>
  </si>
  <si>
    <t xml:space="preserve">Keppel Asia Infrastructure Fund (KAIF) is a closed-end infrastructure private equity fund managed by Keppel Capital Holdings Pte. Ltd. The fund adopts a value-add strategy, investing in a portfolio of development and growth opportunities across the Asia Pacific region. By leveraging Keppel's technical expertise and deep operational insights, KAIF aims to create value, de-risk, and stabilize investments through active asset management, delivering attractive risk-adjusted total returns to investors.    The fund's investment strategy focuses on sectors such as energy, utilities, transportation, telecommunications, water, waste management, renewable energy, digital infrastructure, environmental services, urban development, logistics, healthcare, education, agriculture, and real estate. It targets growth and expansion capital investments in these sectors, primarily in developed markets within the Asia Pacific region.    KAIF has achieved significant milestones, including a second closing with aggregate commitments of US$420 million, bringing total capital commitments to US$570 million, with investors such as the Asian Infrastructure Investment Bank (AIIB). The fund's first investment was an interest in the Gimi floating liquefied natural gas (FLNG) facility, currently undergoing conversion at Keppel Offshore &amp; Marine. Additionally, KAIF led the divestment of its combined 80% interest in 800 Super Holdings, an integrated environmental solutions provider in Singapore, at a valuation of over $600 million.    </t>
  </si>
  <si>
    <t>Infrastructure</t>
  </si>
  <si>
    <t>Healthcare, Energy, Real Estate, Telecommunications, Utilities, Education, Renewable Energy, Agriculture, Logistics, Transportation, Digital Infrastructure, Waste Management, Environmental Services, Water, Urban Development</t>
  </si>
  <si>
    <t>Focus on infrastructure projects in the Asia Pacific region, Preference for investments in developed markets, Targeting growth and expansion capital opportunities, Alignment with Keppel's technical expertise and operational insights, Commitment to delivering attractive risk-adjusted total returns to investors</t>
  </si>
  <si>
    <t>Gimi FLNG Facility, 800 Super Holdings</t>
  </si>
  <si>
    <t>Issa Aghabi</t>
  </si>
  <si>
    <t>Abu Dhabi Global Market, Abu Dhabi</t>
  </si>
  <si>
    <t>https://access-bridge.com</t>
  </si>
  <si>
    <t>https://www.linkedin.com/company/accessbridge</t>
  </si>
  <si>
    <t>info@access-bridge.com</t>
  </si>
  <si>
    <t>Issa Aghabi is a seasoned investor and Managing Partner at Access Bridge Ventures, focusing on early-stage investments in the MENA region. He began his career in investment banking and transitioned into the MENA Venture Capital space in 2006 as a founding member of Accelerator Technologies, one of the first venture funds in the Arab world. He has since held numerous roles, including M&amp;A consultant at Yahoo!, Head of Investment at N2V, and Head of Investments and Venture Capital at twofour54. Prior to establishing Access Bridge Ventures, Issa headed IFC’s Middle East, North Africa, Pakistan, and Europe’s venture investments both from a Direct and Indirect perspective.    Issa's track record includes investing in over 75 direct and indirect deals, with transaction sizes ranging from $100K to $25M. He has managed over $150M in MENA Venture funds, launched the UAE’s first Accelerator, exited over six MENA-based deals, and supported two IPOs. His portfolio includes companies such as Souq, Mumzworld, Jawaker, Vezeeta, and Intaj.    Currently, Issa is the founder and managing partner of Access Bridge Ventures, an early-stage venture capital fund focusing on Pre-Series A investments across the MENA region. The fund has invested in over 25 companies to date and is growing. He holds an MBA with a focus on Strategy, Entrepreneurship, Mergers &amp; Acquisitions, and Corporate Finance from Cass Business School (City University of London) and a bachelor's degree in Commerce from Concordia University.</t>
  </si>
  <si>
    <t>Financial Services, Technology, Healthcare, Energy, Consumer Goods, Real Estate, Telecommunications, Media, Retail, Education, Agriculture, HealthTech, EdTech, FinTech, Logistics, SaaS, Transportation, Enterprise Tech, Software as a Service, Tourism, Ecommerce</t>
  </si>
  <si>
    <t>United Arab Emirates, Saudi Arabia, Qatar, Kuwait, Oman, Egypt, Tunisia, Morocco, Algeria, Lebanon, Bahrain, Pakistan, Jordan, Somalia, Iraq, Palestine, Djibouti, Mauritania, Yemen, Syria</t>
  </si>
  <si>
    <t>High-growth tech startups, Early-stage companies, Pre-Series A investments, Companies in healthtech, edtech, fintech, SaaS sectors, Startups from Saudi Arabia, UAE, Egypt, Pakistan, and the wider MENA region</t>
  </si>
  <si>
    <t>Souq, Mumzworld, Jawaker, Vezeeta, Intaj, SAE, Mala Inc., Shapes Defined, Orcas Education</t>
  </si>
  <si>
    <t>Fatima Gobi Ventures</t>
  </si>
  <si>
    <t>Lahore, Pakistan</t>
  </si>
  <si>
    <t>https://fatimagobi.vc</t>
  </si>
  <si>
    <t>info@fatimagobi.vc</t>
  </si>
  <si>
    <t>+92-21-111-111111</t>
  </si>
  <si>
    <t>Fatima Gobi Ventures is a prominent venture capital firm in Pakistan's technology ecosystem, focusing on early-stage investments in scalable tech companies. The firm was established in 2015 as Fatima Ventures and later partnered with Gobi Partners to launch Fatima Gobi Ventures, a $20 million fund dedicated to supporting early-stage technology companies in Pakistan. This partnership combines local expertise with regional venture capital know-how, aiming to address current pain points in one of the fastest-growing emerging markets globally.    The firm's investment strategy targets sectors such as travel, logistics, fintech, healthcare, education, e-commerce, consumer tech, industrial internet, and Taqwatech. Fatima Gobi Ventures has invested in leading startups like Tajir, Safepay, Abhi, Adalfi, Lean Technologies, and Sasta Ticket. Additionally, the firm co-launched the National Incubation Center (NIC) Lahore in partnership with the Lahore University of Management Sciences (LUMS) and Ignite, aiming to create 200 companies over the next five years and generate thousands of jobs.    Under the leadership of Ali Mukhtar, the founder and general partner, Fatima Gobi Ventures continues to play a significant role in Pakistan's startup ecosystem, providing capital, mentorship, and strategic guidance to entrepreneurs. Ali Mukhtar also serves as a director at Fatima Group, overseeing group strategy and investments, and is an active member of the Pakistani business community, holding advisory roles in organizations supporting entrepreneurs and innovation.</t>
  </si>
  <si>
    <t>Technology, FinTech, E-commerce, Logistics, SaaS, AgriTech, TravelTech, Consumer Tech, Industrial Internet, Co-working, Taqwatech</t>
  </si>
  <si>
    <t>Scalable technology solutions, Addressing market pain points, Early-stage companies</t>
  </si>
  <si>
    <t>Tajir, Safepay, Abhi, AdalFi, Lean Technologies, Sasta Ticket, PriceOye, Rider, Adal Financial, InventHub, UDHAAR, Tazah, Sastaticket, Intellia, Trellis, Savyour, Colabs, TAG, Airlift</t>
  </si>
  <si>
    <t>SC Ventures</t>
  </si>
  <si>
    <t>Level 5, 1 Basinghall Avenue, London</t>
  </si>
  <si>
    <t>https://scventures.io/</t>
  </si>
  <si>
    <t>https://www.linkedin.com/company/scventures/</t>
  </si>
  <si>
    <t>SC Ventures is the innovation, fintech investment, and ventures arm of Standard Chartered Bank, established in 2018 to drive digital innovation and invest in disruptive financial technologies. Operating globally, SC Ventures focuses on building and scaling breakthrough business models that address evolving client needs and market dynamics. The firm collaborates with startups, investors, and accelerators to foster a vibrant ecosystem that reimagines the future of finance.    The firm's investment strategy encompasses a wide range of stages, from seed to late-stage ventures, with a particular emphasis on sectors such as financial services, technology, healthcare, and real estate. SC Ventures has a significant presence in key markets, including the United Kingdom, Singapore, Hong Kong, the United States, and the United Arab Emirates, among others. This extensive geographical footprint enables the firm to identify and support innovative solutions that cater to diverse regional needs.    SC Ventures has demonstrated a strong track record in nurturing and scaling ventures. Notable initiatives include the launch of Trust Bank in Singapore, a digitally native bank created in partnership with FairPrice Group, and the establishment of Mox, a Hong Kong-based digital bank in collaboration with HKT, PCCW, and Trip.com. These ventures exemplify SC Ventures' commitment to leveraging technology to enhance banking experiences and drive financial inclusion across its markets.</t>
  </si>
  <si>
    <t>United States, United Kingdom, Hong Kong, Singapore, China, India, United Arab Emirates, Indonesia, Ghana, Kenya, Saudi Arabia, Pakistan, Bangladesh, Vietnam, Malaysia, Philippines, Thailand, Nigeria, Taiwan, Sri Lanka</t>
  </si>
  <si>
    <t>Innovative financial technology solutions, Scalable business models, Strong management teams, Alignment with Standard Chartered's strategic objectives</t>
  </si>
  <si>
    <t>Trust Bank, Mox, Solv, audax Financial Technology, Olea Global, appro, myZoi, Nexus, Cardspal, Assembly Payments, Bukalapak, Sociolla, BukaTabungan</t>
  </si>
  <si>
    <t>Xiaomi Ventures</t>
  </si>
  <si>
    <t>https://www.mi.com/en/ir/</t>
  </si>
  <si>
    <t>ir@xiaomi.com</t>
  </si>
  <si>
    <t>Xiaomi Ventures is the corporate venture capital arm of Xiaomi Corporation, focusing on strategic investments in technology companies worldwide. As a subsidiary of Xiaomi, it leverages the parent company's extensive ecosystem to identify and support innovative startups that align with Xiaomi's mission to make high-quality products accessible to everyone. Xiaomi Ventures seeks to invest in companies that can benefit from Xiaomi's resources, including its global distribution network, research and development capabilities, and brand recognition.    The firm's investment strategy encompasses a wide range of sectors within the technology industry, including consumer electronics, e-commerce, automotive, artificial intelligence, internet of things, semiconductors, smartphones, home appliances, wearables, gaming, media, healthcare, financial services, and retail. Xiaomi Ventures is open to investing at various stages of a company's development, from seed and early-stage ventures to growth and late-stage opportunities. This flexibility allows the firm to support a diverse portfolio of companies with high growth potential.    Xiaomi Ventures has a global geographical focus, with investments in countries such as China, India, the United States, Germany, Russia, Brazil, Indonesia, Mexico, Turkey, Japan, South Korea, Vietnam, Thailand, the Philippines, Pakistan, Bangladesh, Nigeria, Egypt, South Africa, and Argentina. This international presence reflects Xiaomi's commitment to fostering innovation and expanding its global footprint through strategic partnerships with emerging technology leaders. By investing in a broad array of industries and stages, Xiaomi Ventures aims to drive technological advancement and create synergies that enhance Xiaomi's product offerings and market reach.</t>
  </si>
  <si>
    <t>Financial Services, Technology, Healthcare, Media, Automotive, Retail, E-commerce, Artificial Intelligence, Gaming, Semiconductors, Internet of Things, Consumer Electronics, Smartphones, Wearables, Home Appliances</t>
  </si>
  <si>
    <t>United States, Germany, Japan, China, India, Brazil, Mexico, Indonesia, South Korea, Egypt, Turkey, Pakistan, Bangladesh, South Africa, Russia, Vietnam, Philippines, Thailand, Nigeria, Argentina</t>
  </si>
  <si>
    <t>Innovative technology solutions, Scalable business models, Alignment with Xiaomi's strategic interests, Strong management teams, Potential for global expansion</t>
  </si>
  <si>
    <t>Black Shark, Xiaomi Auto, Zhigu Corporation, ZMI, Youpin, POCO, Redmi, Mijia, Mi Home, Mi TV, Mi Band, Mi Notebook, Mi Air Purifier, Mi Robot Vacuum, Mi Electric Scooter, Mi Electric Kettle, Mi Smart Water Purifier, Mi Smart Door Lock, Mi Smart Camera, Mi Smart Scale</t>
  </si>
  <si>
    <t>1955 Capital</t>
  </si>
  <si>
    <t>650 B Fremont Ave, Los Altos, CA 94024</t>
  </si>
  <si>
    <t>https://1955.capital/</t>
  </si>
  <si>
    <t>https://www.linkedin.com/company/1955-capital</t>
  </si>
  <si>
    <t>info@1955.capital</t>
  </si>
  <si>
    <t>(650) 223-3896</t>
  </si>
  <si>
    <t xml:space="preserve">1955 Capital is a venture capital firm dedicated to investing in advanced technologies that aim to solve pressing global challenges. The firm focuses on sectors such as energy, environment, healthcare, education, food safety, agriculture, and sustainable manufacturing. By targeting these areas, 1955 Capital seeks to address critical issues like climate change, public health, and sustainable development.  The firm's investment strategy involves identifying breakthrough technologies that can meet survival-driven needs in developing countries. By leveraging its experience and global network, 1955 Capital collaborates with entrepreneurs to build strong companies, accelerate technology commercialization, and foster global partnerships. This approach aims to create high-return models for sustainable investing.  Founded in 2015 by Andrew Chung, a former partner at Khosla Ventures, 1955 Capital has demonstrated top-quartile performance since its inception. The firm's diverse and inclusive team combines strong domain expertise, operating experience, and a history of commercializing technologies globally. This track record reflects their commitment to addressing some of the world's most pressing challenges through innovative solutions.  </t>
  </si>
  <si>
    <t>Healthcare, Energy, Education, Agriculture, Environment, Food Safety, Sustainable Manufacturing</t>
  </si>
  <si>
    <t>United States, Japan, China, India, Brazil, Mexico, Indonesia, South Korea, Egypt, Turkey, Pakistan, Bangladesh, South Africa, Russia, Vietnam, Philippines, Thailand, Nigeria, Argentina, Iran</t>
  </si>
  <si>
    <t>Advanced technologies addressing global challenges, Potential for high impact in developing countries, Alignment with firm's mission and investment thesis</t>
  </si>
  <si>
    <t>Brick and Mortar Ventures</t>
  </si>
  <si>
    <t>https://brickmortar.vc/</t>
  </si>
  <si>
    <t>Brick and Mortar Ventures is a venture capital firm focused on investing in emerging companies developing innovative software and hardware solutions for the architecture, engineering, construction, and facilities management industries. Their mission is to identify, invest in, and grow companies that are disrupting the built world through technological advancements.    The firm employs a strategic approach to investing, targeting early-stage startups with the potential to transform traditional industry practices. They prioritize companies developing scalable solutions that address critical inefficiencies and safety concerns in construction and facilities management. By fostering close partnerships and providing strategic support, Brick and Mortar Ventures ensures these companies can achieve sustainable growth and innovation.    With a portfolio that includes notable investments such as Fieldwire, Rhumbix, and SafeSite, Brick and Mortar Ventures has demonstrated a commitment to advancing technology in the construction sector. Their focus on both incremental improvements and radical disruptions aims to drive efficiency gains, increase productivity, and improve safety conditions throughout the AEC and facilities management industries.</t>
  </si>
  <si>
    <t>Technology, Healthcare, Energy, Consumer Goods, Real Estate, Telecommunications, Utilities, Software, Transportation, Construction, Manufacturing, Architecture, Engineering, Hardware, Facilities Management</t>
  </si>
  <si>
    <t>Innovative technology solutions, Scalable business models, Addressing inefficiencies in construction and facilities management, Potential for significant impact on the built world</t>
  </si>
  <si>
    <t>Fieldwire, Rhumbix, Safesite, ManufactOn, Serious Labs, BuildingConnected, Branch Technology, Canvas, CUMULUS, Connect Homes, Illumagear, SafeAI, VEERUM, Ynomia, Curbio, Wingtra, Timber</t>
  </si>
  <si>
    <t>Al Jomaih Holding</t>
  </si>
  <si>
    <t>3961 King Abdulaziz Road, Ad Dhubbat District, Riyadh 12627, Saudi Arabia</t>
  </si>
  <si>
    <t>https://www.aljomaih.com/</t>
  </si>
  <si>
    <t>https://www.linkedin.com/company/aljomaihholding</t>
  </si>
  <si>
    <t>info@aljomaih.com.sa</t>
  </si>
  <si>
    <t>+966 11 478 8811</t>
  </si>
  <si>
    <t>Al Jomaih Holding is a diversified Saudi Arabian conglomerate with a legacy spanning nearly 90 years, operating across key sectors including automotive, beverages, real estate, energy, and financial services. The company has established long-standing partnerships with global brands such as General Motors, PepsiCo, and Yokohama, reflecting its significant presence in the automotive and consumer goods industries. Additionally, Al Jomaih Holding has made substantial investments in energy and real estate, contributing to the economic development of Saudi Arabia.  The company's investment strategy focuses on long-term partnerships and strategic ventures that align with its mission to maximize shareholder value. Al Jomaih Holding has been involved in various joint ventures and projects, including power generation and distribution, as well as real estate development. These initiatives demonstrate the company's commitment to diversifying its portfolio and contributing to the Kingdom's Vision 2030 objectives.  Al Jomaih Holding's approach emphasizes ethical business practices, integrity, and transparency. The company is dedicated to sustainability and environmental conservation, integrating these principles into its operations and investments. This commitment is evident in its partnerships and projects, which aim to support the sustainable growth of Saudi Arabia's economy and infrastructure.</t>
  </si>
  <si>
    <t>Private Equity, Real Estate, Energy, Automotive, Consumer Goods, Financial Services</t>
  </si>
  <si>
    <t>Financial Services, Energy, Consumer Goods, Real Estate, Telecommunications, Automotive, Retail, Logistics, Hospitality, Construction, Trading, Food Manufacturing, Oil &amp; Gas, Heavy Equipment, Beverages</t>
  </si>
  <si>
    <t>United States, United Kingdom, Germany, Japan, Australia, China, India, Brazil, France, Italy, Spain, Mexico, South Korea, Saudi Arabia, Oman, Egypt, Pakistan, Bangladesh, South Africa, Russia</t>
  </si>
  <si>
    <t>Shariah-compliant investments, Long-term partnerships, Alignment with Vision 2030 objectives, Commitment to sustainability and environmental conservation, High standards of integrity, transparency, and professionalism</t>
  </si>
  <si>
    <t>Al Jomaih Automotive, Al Jomaih Energy &amp; Water, Al Jomaih Real Estate, Al Jomaih Financial Services, Al Jomaih Consumer Goods, Al Jomaih Heavy Equipment, Al Jomaih Oil &amp; Gas, Al Jomaih Food Manufacturing, Al Jomaih Trading, Al Jomaih Telecommunications, Al Jomaih Construction, Al Jomaih Logistics, Al Jomaih Retail, Al Jomaih Hospitality, Al Jomaih Tyre Co. Ltd., Al Jomaih Bottling Plant, Al Jomaih and Shell Lubricating Oil Co. Ltd., Al Jomaih and Shell Lubricating Oil Company Limited (JOSLOC)</t>
  </si>
  <si>
    <t>Waterway Ventures</t>
  </si>
  <si>
    <t>2282 Weston Rd, Fort Lauderdale, FL 33326</t>
  </si>
  <si>
    <t>Florida</t>
  </si>
  <si>
    <t>https://www.waterwayventures.com/</t>
  </si>
  <si>
    <t>info@waterwayventures.com</t>
  </si>
  <si>
    <t>+1 (954) 617-8209</t>
  </si>
  <si>
    <t>Waterway Ventures is a venture capital firm specializing in facilitating technological innovation and market expansion in Asia through strategic partnerships. The firm focuses on connecting companies with the right partners to drive growth and innovation in the Asian market.    Waterway Ventures partners with leading companies to expand their presence in Asia, offering a comprehensive growth strategy that includes targeted investment, market entry strategies, and operational support. Their portfolio includes companies in various sectors such as DevOps, cloud computing, indoor air quality, and AI solutions.    With a team of seasoned professionals experienced in enterprise software, semiconductor, AI, and blockchain industries, Waterway Ventures leverages its expertise to help organizations achieve significant top-line growth in the Asian market. Their approach emphasizes building long-term relationships and providing tailored solutions to meet the unique needs of each partner.</t>
  </si>
  <si>
    <t>Technology, Blockchain, Cloud Computing, AI, Enterprise Software, DevOps, Semiconductor, Software Automation, AI Solutions, Indoor Air Quality, Software Distribution, Debugging Tools, Air Quality Monitoring, Eye-Tracking AI, Camera Technology</t>
  </si>
  <si>
    <t>MSW Ventures</t>
  </si>
  <si>
    <t>10 Ubi Crescent #06-17 Ubi Techpark, Singapore</t>
  </si>
  <si>
    <t>https://www.mettlesaltwealth.com/</t>
  </si>
  <si>
    <t>businessplan@mettlesaltwealth.com</t>
  </si>
  <si>
    <t>MSW Ventures is a Singapore-based venture capital firm that partners with bold and mainstream-minded business leaders to scale digital and data technologies, transforming legacy practices. Through its opportunity fund, Asia Fund X (AFX), the firm identifies and discovers tech startups and companies that can disproportionately impact the digital economies of Southeast Asia today.    The firm focuses on sectors such as data technology, enterprise technology, sustainability, and food and agriculture technology, providing capital and strategic guidance to startups across Southeast Asia. MSW Ventures evaluates potential investments based on their sustainability and long-term success, looking beyond traditional performance metrics to understand business models and exit potential.    By providing guidance and support from the very beginning, MSW Ventures gives startups a competitive edge and helps entrepreneurs establish themselves as leaders in their fields. The firm's team comprises experienced professionals dedicated to empowering entrepreneurs and fostering innovation in the region.</t>
  </si>
  <si>
    <t>Innovative business models, Experienced founders, Established product-market fit, Potential for significant impact in Southeast Asia's digital economy</t>
  </si>
  <si>
    <t>Hepmil, Fefifo, Kiddocare, Mito Health, MADCash, Homa2u, Pawprints, Patipost</t>
  </si>
  <si>
    <t>StrongHer Ventures</t>
  </si>
  <si>
    <t>https://www.strongher.vc/</t>
  </si>
  <si>
    <t>https://www.linkedin.com/company/strongherarise</t>
  </si>
  <si>
    <t>arise@strongher.vc</t>
  </si>
  <si>
    <t>StrongHer Ventures is a venture capital firm dedicated to investing in women-led technology companies worldwide. The firm focuses on pre-seed and early-stage investments in sectors such as future of work, health, fintech, and consumer products. By targeting startups that recognize the significant potential of the female economy, StrongHer Ventures aims to support businesses that create solutions for women's health, financial independence, and career advancement.    The firm's investment strategy emphasizes operational expertise to scale early-stage companies, leveraging a strong network and investment acumen to catalyze growth. StrongHer Ventures is committed to building a platform for women venture capitalists and entrepreneurs, fostering an ecosystem that supports diversity and inclusion in the tech industry.    With a portfolio that includes notable companies like Fitternity, MyAlly, LoveLocal, and Shoptimize, StrongHer Ventures demonstrates a track record of backing innovative startups led by women. The firm's approach combines capital investment with mentorship and community building, aiming to empower women entrepreneurs and drive meaningful impact in the technology sector.</t>
  </si>
  <si>
    <t>Financial Services, Technology, Healthcare, Consumer Goods, Consumer, FinTech, Metaverse, Health, Climate Tech</t>
  </si>
  <si>
    <t>Women-led startups, Technology-driven companies, Pre-seed to early-stage ventures, Focus on future of work, health, fintech, and consumer sectors, Technology focus, Pre-seed to early-stage companies</t>
  </si>
  <si>
    <t>Meolaa, Ready Set Jet, Assiduus Global, OwnTrail, VELMENI, Fitternity, MyAlly, LoveLocal, Shoptimize</t>
  </si>
  <si>
    <t>1337 Ventures</t>
  </si>
  <si>
    <t>C-L19-08, KL Trillion, 338, Jalan Tun Razak, Kuala Lumpur</t>
  </si>
  <si>
    <t>Wilayah Persekutuan Kuala Lumpur</t>
  </si>
  <si>
    <t>https://1337.ventures/</t>
  </si>
  <si>
    <t>https://www.linkedin.com/company/1337ventures</t>
  </si>
  <si>
    <t>info@1337.ventures</t>
  </si>
  <si>
    <t>+603 2733 0337</t>
  </si>
  <si>
    <t xml:space="preserve">1337 Ventures is a Malaysia-based venture capital firm focused on early-stage startups, discovering, funding, and launching bold founders with scalable ideas. They support startups through every growth phase, from idea to product-market fit and beyond. Through their flagship Alpha Startups™ pre-accelerator, held quarterly, they help founders deeply understand their customers, validate their market, and accelerate traction—while preparing them for investment.    The firm operates the Alpha Startups Accelerator, designed to support startups with venture development and access to a network of experts, mentors, investors, and portfolio founders. Their portfolio spans various sectors, including Agritech, E-commerce, FoodTech, and GreenTech. They also assist SMEs in raising funds via Equity Crowdfunding and consult corporates on their innovation journey.    In April 2025, 1337 Ventures was recognized as Malaysia's first Microsoft for Startups Champion Network, marking a significant step in its mission to empower local entrepreneurs with world-class resources and networks. This recognition strengthens their commitment to fostering Malaysia's startup ecosystem by providing startups with access to essential tools, mentorship, and cloud funding opportunities through Microsoft for Startups Founders Hub.    </t>
  </si>
  <si>
    <t>Technology, Consumer Goods, Real Estate, Media, Retail, Education, HealthTech, FoodTech, EdTech, FinTech, E-commerce, Logistics, AgriTech, Entertainment, GreenTech</t>
  </si>
  <si>
    <t>Innovative business models, Scalable solutions, Strong founding teams, Clear product-market fit, Potential for regional expansion</t>
  </si>
  <si>
    <t>StoreHub, Jirnexu, Katalyst</t>
  </si>
  <si>
    <t>TMG Ventures</t>
  </si>
  <si>
    <t>The Curve, G74 The Street @, Mutiara Damansara, 47820 Petaling Jaya, Selangor, Malaysia</t>
  </si>
  <si>
    <t>Selangor</t>
  </si>
  <si>
    <t>https://tmgv.com.my/</t>
  </si>
  <si>
    <t>TMG Ventures is a prominent Asia Pacific-based food and beverage merger and acquisition company that specializes in elevating homegrown brands to regional and international markets. The company employs a fund-based approach to scale operations through both organic growth, such as franchising and corporate-owned stores, and inorganic growth via mergers and acquisitions, facilitating a rapid path to profitability. TMG Ventures focuses on identifying brand partners that can enhance its food and beverage portfolio, aiming to expand these brands across the Asia Pacific region and globally. The company is led by a team of food and beverage entrepreneurs and finance professionals with strong expertise in both areas. Additionally, TMG Ventures has a growing presence in the virtual food space, operating virtual food halls, delivery kitchens, and traditional restaurants, enabling partner brands to experience seamless expansion. TMG Ventures is proud to have FBE Ventures, an investment holding company, and Pernas (Perbadanan Nasional Berhad), a company owned by The Ministry of Finance of Malaysia, as its strategic partners and investors. The company's portfolio includes a diverse range of brands, such as The Majapahit Restaurant, Warung Padang, Penyet Jakarta, Gajah Mada, Rasa Nusantara, Mikey’s Original New York Pizza, NY Burger Co., and Tail &amp; Fin. TMG Ventures continues to seek out new opportunities to expand its portfolio and strengthen its position in the food and beverage industry.     In October 2023, TMG Ventures announced a partnership with Les’ Copaque Productions to introduce an 'Upin &amp; Ipin'-themed restaurant in the Klang Valley, starting with Kuala Lumpur. This collaboration aims to create a unique dining destination that celebrates the iconic Malaysian brand and offers an immersive experience for fans and families. The partnership reflects TMG Ventures' commitment to innovation and its ability to leverage popular cultural properties to enhance its brand offerings.     TMG Ventures' strategic approach combines financial acumen with a deep understanding of the food and beverage industry, positioning it as a key player in the Asia Pacific market. The company's focus on both organic and inorganic growth strategies allows it to adapt to market dynamics and capitalize on emerging opportunities. Through its diverse portfolio and strategic partnerships, TMG Ventures continues to drive growth and deliver value to its stakeholders, reinforcing its reputation as a leading investor in the food and beverage sector.</t>
  </si>
  <si>
    <t>Financial Services, Technology, Healthcare, Consumer Goods, Real Estate, Telecommunications, Media, Retail, Education, E-commerce, Logistics, Hospitality, Entertainment, Food &amp; Beverage, Supply Chain</t>
  </si>
  <si>
    <t>Established food and beverage brands seeking expansion, Brands with potential for regional and international growth, Companies open to mergers and acquisitions, Brands interested in franchising opportunities, Businesses with a strong market presence in their home country</t>
  </si>
  <si>
    <t>The Majapahit Restaurant, Warung Padang, Penyet Jakarta, Gajah Mada, Rasa Nusantara, Mikey’s Original New York Pizza, NY Burger Co., Tail &amp; Fin</t>
  </si>
  <si>
    <t>Damson Capital</t>
  </si>
  <si>
    <t>33B Pagoda Street, Singapore 059192</t>
  </si>
  <si>
    <t>https://www.damson.sg/</t>
  </si>
  <si>
    <t>enquiries@damson.com.sg</t>
  </si>
  <si>
    <t>+65 8498 0978</t>
  </si>
  <si>
    <t>Damson Capital is a Singapore-based impact venture capital firm founded in 2015, focusing on early-stage enterprises that demonstrate credible and transformative potential for positive social or environmental change. The firm aligns its investments with the United Nations Sustainable Development Goals (SDGs), aiming to address major social and environmental challenges through scalable and transformative technologies. Damson Capital seeks to identify, invest in, and grow businesses where impact can drive returns, contributing to systems-level change in the region.    The firm's investment strategy targets impact startups exhibiting a strong positive alignment between impact and profit, particularly within the Asian context. Damson Capital emphasizes the importance of enterprise sustainability and strong management teams in its investment decisions. The firm is non-concessionary and targets venture capital market rate returns, believing that a concerted effort across all sectors is necessary for the betterment of the world.    Damson Capital's portfolio includes companies such as FlyFarm Worldwide, which focuses on organic waste upcycling for insect protein; SimplyGood, offering green household cleaning products; Etcembly, specializing in biotherapeutics; Eden + Elie, a lifestyle brand; Quincus Technologies, a logistics tech company; Westbike Messenger, a green logistics provider; and DamoGo, a supply chain management tech firm. These investments reflect Damson Capital's commitment to supporting businesses that integrate impact within their business models, ensuring that as the startups grow, their positive impact scales accordingly.</t>
  </si>
  <si>
    <t>Technology, Healthcare, Consumer Goods, Real Estate, Media, Education, Renewable Energy, Agriculture, FinTech, E-commerce, Logistics, Transportation, Manufacturing, Entertainment, Biotechnology</t>
  </si>
  <si>
    <t>Early-stage enterprises addressing social and environmental challenges in Southeast Asia, Strong management teams, Enterprise sustainability, Alignment with United Nations Sustainable Development Goals (SDGs)</t>
  </si>
  <si>
    <t>FlyFarm Worldwide, SimplyGood, Etcembly, Eden + Elie, Quincus Technologies, Westbike Messenger, DamoGo</t>
  </si>
  <si>
    <t>Yang Ventures</t>
  </si>
  <si>
    <t>Los Angeles, United States</t>
  </si>
  <si>
    <t>https://yangventures.com</t>
  </si>
  <si>
    <t>https://www.linkedin.com/company/yang-ventures/</t>
  </si>
  <si>
    <t>vc@yango.com</t>
  </si>
  <si>
    <t>A corporate venture fund supporting early-stage startups across multiple regions and industries.    Yang Ventures focuses on early-stage startups, from Seed to Series B, in the O2O (Online-to-Offline), B2B SaaS, and FinTech sectors. While it starts with an initial fund of $20 million, the corporate venture fund is designed for scalability, with plans to expand its capital base in the near future alongside the growing entrepreneurial ecosystems in dynamic, high-growth markets. By investing in regions where Yango Group has a strong presence, Yang Ventures seeks to support tech-driven solutions that promote digitalization and stimulate economic development.    The board of experts behind Yang Ventures comprises a diverse team with deep expertise in transforming B2B SaaS and B2C technology into impactful services across various industries worldwide. The team has successfully developed and scaled platforms and products in sectors such as mobility, entertainment, fintech, AI, and beyond, both within the company and externally.</t>
  </si>
  <si>
    <t>FinTech, B2B SaaS, O2O (Online-to-Offline)</t>
  </si>
  <si>
    <t>United States, Latin America, Pakistan, MENA, Africa, Central Asia</t>
  </si>
  <si>
    <t>Early-stage startups, Seed to Series B stages, O2O (Online-to-Offline), B2B SaaS, FinTech sectors, Presence in United States, Latin America, Africa, MENA, Pakistan, or Central Asia</t>
  </si>
  <si>
    <t>Launch Africa, BECO Capital, Speedinvest</t>
  </si>
  <si>
    <t>Everhaus</t>
  </si>
  <si>
    <t>Jakarta, Indonesia</t>
  </si>
  <si>
    <t>https://ever.haus</t>
  </si>
  <si>
    <t>general@ever.haus</t>
  </si>
  <si>
    <t>+622129412528</t>
  </si>
  <si>
    <t>Everhaus is a venture capital firm based in Jakarta, Indonesia, specializing in early-stage investments in technology-driven companies across Southeast Asia. The firm focuses on sectors such as technology, retail tech, data science, and financial services, aiming to catalyze new retail and sharing economy innovations in the region. Everhaus is known for its data-driven approach, leveraging expertise in data analytics and financial services to support the growth of its portfolio companies.    The firm's investment strategy encompasses various stages, including pre-seed, seed, early stage, Series A, and Series B, with ticket sizes ranging from USD 50,000 to USD 500,000. Everhaus has been recognized as one of the most active seed investors in Indonesia, having invested in 17 companies starting from 2017. Notable investments include EdenFarm, an Indonesian agriculture supply chain company, and Outpost, a network of coworking, co-living, and social spaces in Indonesia and Cambodia.    Everhaus's investment philosophy emphasizes a data-driven approach to identify high-growth opportunities, with a strategic focus on sectors such as technology, retail tech, data science, and financial services. The firm aims to support the growth of its portfolio companies by leveraging its expertise in data analytics and financial services, contributing to the development of the technology ecosystem in Southeast Asia.</t>
  </si>
  <si>
    <t>Financial Services, Technology, Energy, Consumer Goods, Real Estate, Telecommunications, Media, Automotive, Education, Agriculture, HealthTech, EdTech, FinTech, E-commerce, Logistics, Manufacturing, AgriTech, Entertainment, Travel, Retail Tech, Data Science</t>
  </si>
  <si>
    <t>Technology-driven companies, Early-stage startups, Southeast Asia focus, Data-driven business models, Innovative solutions in retail and sharing economy sectors</t>
  </si>
  <si>
    <t>Edenfarm, Outpost</t>
  </si>
  <si>
    <t>Venture.d</t>
  </si>
  <si>
    <t>D-99, Block-5, Federal B Area, Near Tahir Villas Chowrangi, Karachi</t>
  </si>
  <si>
    <t>https://vfg.com.pk</t>
  </si>
  <si>
    <t>info@ventureforceglobal.com</t>
  </si>
  <si>
    <t>+92 (213)- 632-0003</t>
  </si>
  <si>
    <t>Venture.d is a venture capital firm based in Karachi, Pakistan, dedicated to supporting early-stage technology companies. The firm focuses on identifying and nurturing innovative startups with high growth potential, aiming to drive technological advancement and economic development within the country.    The firm's investment strategy encompasses a wide range of sectors, including technology, healthcare, financial services, consumer goods, education, energy, agriculture, logistics, media, telecommunications, retail, transportation, real estate, manufacturing, and tourism. This diverse approach allows Venture.d to address various market needs and capitalize on emerging opportunities across different industries.    Venture.d's investment stages range from seed funding to late-stage investments, providing flexible support tailored to the specific needs of each portfolio company. By offering both financial resources and strategic guidance, the firm seeks to empower entrepreneurs and foster the growth of successful, sustainable businesses in Pakistan's dynamic market environment.</t>
  </si>
  <si>
    <t>Innovative technology solutions, Scalable business models, Strong management teams, Clear market demand, Potential for significant growth</t>
  </si>
  <si>
    <t>Slayton Capital</t>
  </si>
  <si>
    <t>Silicon Valley, California</t>
  </si>
  <si>
    <t>https://slaytoncapital.com/</t>
  </si>
  <si>
    <t>contact@slaytoncapital.com</t>
  </si>
  <si>
    <t>Slayton Capital is a venture capital firm founded in 2001 by the Honorable Gregory W. Slayton in Silicon Valley, California. The firm specializes in early-stage investments in technology companies, emphasizing personal relationships with founders and a commitment to social impact. Slayton Capital's motto is 'Helping Great Entrepreneurs Build Great Companies for the Greater Good.'    The firm's investment strategy involves selecting companies based on four primary criteria, focusing on those where Mr. Slayton has a personal connection with the principals. Slayton Capital has been an early investor in notable companies such as Salesforce.com, Google, Oakley Networks, and Bloom Energy. The firm typically invests in a limited number of companies each year, aiming to add value in areas like business strategy, executive and board recruiting, business development, digital marketing, and fundraising.    Slayton Capital operates without limited partners, allowing the Managing Director to dedicate more time to philanthropic efforts through the Slayton Family Foundation. The firm does not consider unsolicited business plans or proposals, maintaining a selective investment approach. Slayton Capital's commitment to social responsibility is evident in its dedication to donating at least 10% of its profits to charitable organizations annually.</t>
  </si>
  <si>
    <t>Personal connection with founders, Commitment to social impact, Selective investment approach</t>
  </si>
  <si>
    <t>Salesforce.com, Google, Oakley Networks, Bloom Energy</t>
  </si>
  <si>
    <t>Twilight Venture Partners</t>
  </si>
  <si>
    <t>111 Monument Circle, Suite 4700, Indianapolis, IN 46204</t>
  </si>
  <si>
    <t>Indiana</t>
  </si>
  <si>
    <t>https://www.twivp.com/</t>
  </si>
  <si>
    <t>info@twivp.com</t>
  </si>
  <si>
    <t>+1 (317) 423-3240</t>
  </si>
  <si>
    <t>Twilight Venture Partners is a venture capital firm dedicated to fostering early-stage life science companies, driving breakthroughs in biotechnology and medical technology with a strategic focus on the dynamic Asian market. The firm invests exclusively in early-stage biotech and med tech companies, leveraging the extensive experience of its partners to select outstanding companies and provide guidance to their management teams. With a deep understanding of the biotechnology and medical technology sectors, Twilight Venture Partners seeks out innovations with the potential for significant impact, particularly within the burgeoning Asian market. The firm's approach goes beyond simply providing funding; it strives to be a true partner to the companies it invests in, offering deep industry knowledge, an extensive network, and strategic insights to help them navigate the complexities of early-stage development and achieve their full potential. Twilight Venture Partners is committed to partnering with companies that are poised to reshape healthcare and improve lives, providing not just capital but also strategic guidance and a global network to help visionary entrepreneurs bring their innovations to life. The firm's team brings together a wealth of experience in life sciences, venture capital, and global business, passionate about supporting early-stage companies and leveraging their collective expertise to help them succeed. The partners have collectively more than 150 years of life science industry experience and have worked together for more than 25 years, creating billions of dollars in value for investors while bringing vital products to market that improved clinical outcomes and saved patient lives. The team consists of former executives from the Pharmaceutical and Medical Device industry, including founders of Guidant Corporation, and is committed to maintaining the highest standards of integrity. Twilight Venture Partners is always eager to connect with visionary entrepreneurs, fellow investors, and industry leaders who share a passion for advancing life sciences. The firm encourages early-stage life science companies with groundbreaking potential, as well as potential partners, to reach out and explore opportunities for collaboration.</t>
  </si>
  <si>
    <t>Seed, Series A, Series B, Growth, Late Stage, Pre-IPO, Buyout, Turnaround, Distressed</t>
  </si>
  <si>
    <t>Healthcare, Digital Health, Pharmaceuticals, Medical Devices, Diagnostics, Biotechnology, Medical Research, Regenerative Medicine, Oncology, Neurology, Cardiology, Immunology, Genomics, Medical Technology, Orthopedics</t>
  </si>
  <si>
    <t>Early-stage life science companies, Focus on biotechnology and medical technology sectors, Potential for significant impact in the Asian market, Visionary entrepreneurs with innovative ideas, Companies poised to reshape healthcare and improve lives, Alignment with the firm's values of integrity and excellence</t>
  </si>
  <si>
    <t>MBX Biosciences, NeoChord, Nico, BioStorage Technologies, Wap Guro, MaterMend, Sunkofa Energy</t>
  </si>
  <si>
    <t>Insitor Impact Asia Fund</t>
  </si>
  <si>
    <t>391B Orchard Rd, Level 22, Ngee Ann City Tower B, Singapore 238874</t>
  </si>
  <si>
    <t>+65 8162 1673</t>
  </si>
  <si>
    <t>Insitor Impact Asia Fund is a Singapore-based venture capital fund that invests in early-stage companies across South and Southeast Asia, focusing on improving the living standards of low-income communities. The fund primarily targets sectors such as renewable energy, agriculture, financial inclusion, healthcare, education, water and sanitation, and affordable housing. It operates in countries including Cambodia, India, Myanmar, and Pakistan, aiming to provide essential goods and services to underserved populations.  The fund's investment strategy involves providing capital in the form of equity or convertible debt to early-stage businesses. In addition to financial support, Insitor Impact Asia Fund offers non-financial assistance to enhance management capabilities in areas such as governance, financial management, environmental, social, and governance (ESG) practices, fundraising, and strategy development. This comprehensive approach aims to build a diversified portfolio across sectors, countries, and companies, with a preference for structures that limit downside risk.  Since its inception, the fund has made multiple investments, creating thousands of jobs and providing direct impact for millions of people served by its portfolio companies. Notable investments include SolarHome, a company providing off-grid solar solutions in Myanmar, and Khmer Water Supply Holding, a piped-water utility company expanding access to safe and affordable water across rural Cambodia. These investments reflect the fund's commitment to fostering sustainable and inclusive growth in emerging markets.</t>
  </si>
  <si>
    <t>ESG and Impact Investing, Venture Capital</t>
  </si>
  <si>
    <t>Healthcare, Education, Renewable Energy, Agriculture, Financial Inclusion, Affordable Housing, Water/Sanitation</t>
  </si>
  <si>
    <t>Early-stage companies providing essential goods and services to low-income communities in South and Southeast Asia</t>
  </si>
  <si>
    <t>SolarHome, Khmer Water Supply Holding</t>
  </si>
  <si>
    <t>Quest FoF</t>
  </si>
  <si>
    <t>Blk 71 Ayer Rajah Crescent #03-25, Singapore 139951</t>
  </si>
  <si>
    <t>https://www.questventures.com</t>
  </si>
  <si>
    <t>https://www.linkedin.com/company/quest-ventures</t>
  </si>
  <si>
    <t>info@questventures.com</t>
  </si>
  <si>
    <t>+65 3158 0518</t>
  </si>
  <si>
    <t>Quest FoF is a Singapore-based fund of funds focusing on early-stage investments across various sectors in Asia. The firm primarily invests in private equity and venture capital funds, targeting seed to growth-stage companies in industries such as technology, healthcare, real estate, financial services, consumer goods, media, entertainment, logistics, education, food and beverage, agriculture, e-commerce, insurance, sports, and property. Quest FoF's geographical focus includes Singapore, Malaysia, Vietnam, Indonesia, Thailand, the Philippines, Myanmar, Laos, Cambodia, Brunei, Timor-Leste, Bangladesh, Sri Lanka, Pakistan, Nepal, Bhutan, the Maldives, India, China, and Hong Kong.    The firm's investment strategy involves deploying funds into private equity and venture capital funds that align with its sector and geographical preferences. Quest FoF has a history of significant investments, including a US$50 million strategic investment in VETRESKA FUTURE PET FOOD, the Singapore-based subsidiary of leading Chinese pet lifestyle brand VETRESKA. This investment was part of a broader strategy to enhance the pet food supply chain and expand VETRESKA's global presence.    Quest FoF's portfolio includes a diverse range of companies across various sectors, reflecting its commitment to fostering innovation and growth in the Asian market. The firm's approach emphasizes collaboration with experienced partners to drive value creation and support the development of high-growth companies in the region.</t>
  </si>
  <si>
    <t>Seed, Series A, Early Stage, Growth, Expansion</t>
  </si>
  <si>
    <t>Financial Services, Technology, Healthcare, Consumer Goods, Real Estate, Media, Insurance, Education, Agriculture, E-commerce, Logistics, Food and Beverage, Entertainment, Sports, Property</t>
  </si>
  <si>
    <t>Hong Kong, Singapore, China, India, Indonesia, Pakistan, Bangladesh, Vietnam, Malaysia, Philippines, Thailand, Maldives, Sri Lanka, Nepal, Bhutan, Myanmar, Cambodia, Laos, Brunei, Timor-Leste</t>
  </si>
  <si>
    <t>Focus on early-stage companies, Alignment with sector and geographical preferences, Potential for scalability and growth</t>
  </si>
  <si>
    <t>VETRESKA FUTURE PET FOOD</t>
  </si>
  <si>
    <t>GIC Ventures</t>
  </si>
  <si>
    <t>168 Robinson Road #37-01 Capital Tower Singapore</t>
  </si>
  <si>
    <t>https://www.gic.com.sg/</t>
  </si>
  <si>
    <t xml:space="preserve">GIC Ventures is the private equity arm of Singapore's sovereign wealth fund, GIC, focusing on investments in private companies globally. Established to manage Singapore's foreign reserves, GIC Ventures aims to preserve and enhance the nation's international purchasing power over the long term. The firm invests across a diversified portfolio, including private equity, real estate, infrastructure, and venture capital, with a global presence in key financial markets.  GIC Ventures employs a comprehensive investment strategy targeting various stages of company development, from early-stage ventures to mature businesses. The firm engages in investments ranging from $50 million to $5 billion, participating in sectors such as technology, healthcare, real estate, financial services, consumer goods, energy, telecommunications, media, transportation, industrial goods, materials, utilities, agriculture, education, and hospitality. This broad sector focus enables GIC Ventures to leverage opportunities across different industries and geographies.  With a global footprint, GIC Ventures has made significant investments in regions including the United States, United Kingdom, Eurozone, China, India, Brazil, Japan, Australia, South Korea, Canada, Mexico, Singapore, Hong Kong, Indonesia, Malaysia, Thailand, Vietnam, Philippines, Pakistan, Bangladesh, and Sri Lanka. The firm's diverse portfolio reflects its commitment to securing Singapore's financial future by investing in a wide array of assets and markets worldwide.  </t>
  </si>
  <si>
    <t>Financial Services, Technology, Healthcare, Energy, Consumer Goods, Real Estate, Materials, Telecommunications, Utilities, Media, Education, Agriculture, Transportation, Hospitality, Industrial Goods</t>
  </si>
  <si>
    <t>United States, United Kingdom, Canada, Hong Kong, Japan, Australia, Singapore, China, India, Brazil, Mexico, Indonesia, South Korea, Pakistan, Bangladesh, Vietnam, Malaysia, Philippines, Thailand, Sri Lanka, Eurozone</t>
  </si>
  <si>
    <t>Strong market position, Scalable business model, Experienced management team, Potential for long-term growth, Alignment with GIC's investment philosophy</t>
  </si>
  <si>
    <t>Uber Technologies, Alibaba Group, Blackstone, Square, N26, Klarna, Cimed, Dapper Labs, Vietcombank, Kotak Mahindra Bank, Rothesay Life, Stripe, Techem, Zūm, Duke Energy, INDUS Realty Trust, Hologic, Temporal, Zuora, EQT</t>
  </si>
  <si>
    <t>Antler Indonesia</t>
  </si>
  <si>
    <t>https://www.antler.co/location/indonesia</t>
  </si>
  <si>
    <t>indonesiascouting@antler.co</t>
  </si>
  <si>
    <t>Antler Indonesia is a prominent early-stage venture capital firm dedicated to empowering exceptional founders in Indonesia. As part of Antler's global network, which spans over 30 locations worldwide, the firm specializes in supporting entrepreneurs from the very beginning, offering pre-seed investments and comprehensive support to help startups scale effectively. With a focus on fostering innovation and addressing meaningful challenges, Antler Indonesia plays a pivotal role in nurturing the next generation of category-defining companies in the region.    The firm's investment strategy encompasses a wide range of industries, including technology, healthcare, retail, artificial intelligence, and more. By providing tailored guidance, capital, and access to a vast network of resources, Antler Indonesia ensures that startups receive the necessary tools to validate their ideas, build strong teams, and achieve sustainable growth. The firm's commitment to the Southeast Asian market is evident through its consistent investment activity, having deployed $3 million across 25 early-stage investments in Indonesia in 2024, following a similar investment pattern in 2023.    Antler Indonesia's approach is characterized by a hands-on, founder-centric philosophy, emphasizing rapid iteration and market validation. This methodology has led to a portfolio that reflects resilience and adaptability, with companies collectively securing over $350 million in follow-on funding. By leveraging its global presence and local expertise, Antler Indonesia continues to be a driving force in the Southeast Asian startup ecosystem, committed to backing visionary founders and fostering innovation that addresses both regional and global challenges.</t>
  </si>
  <si>
    <t>Technology, Healthcare, Energy, Consumer Goods, Telecommunications, Media, Retail, EdTech, FinTech, E-commerce, Transportation, Biotech, Entertainment, Agtech, Proptech, Food &amp; Beverage, B2B/Enterprise, Travel, Logistics/Supply Chain, AI (Artificial Intelligence)</t>
  </si>
  <si>
    <t>Innovative business ideas, Strong founding teams, Scalable business models, Commitment to rapid growth and market validation</t>
  </si>
  <si>
    <t>Airalo, Reebelo, Qashier, fileAI, Volopay, Capsa AI, Tactiq, Sweatpals, INGENIUS, Glīd, HIFI, Clout Kitchen, Wrtn, Satlyt</t>
  </si>
  <si>
    <t>Burkhan World Investments</t>
  </si>
  <si>
    <t>Miami, Florida</t>
  </si>
  <si>
    <t>https://burkhan.world/</t>
  </si>
  <si>
    <t>contact@burkhan.world</t>
  </si>
  <si>
    <t>1(305)-728-7030</t>
  </si>
  <si>
    <t>Burkhan World Investments is a global multi-sector investment group focused on developing assets that generate long-term economic and societal impact. Operating across six strategic pillars—Technology &amp; AI Infrastructure, Mining &amp; Industrial Resources, Energy &amp; Critical Infrastructure, Real Estate &amp; Urban Development, Financial Services &amp; Capital Solutions, and Social Impact, NGOs &amp; Education—the firm partners with governments, sovereign institutions, private enterprises, and communities to build platforms that help nations and industries thrive.    The firm's investment strategy spans multiple sectors, including AI and advanced computing, mining and critical raw materials, energy and large-scale infrastructure, real estate and urban development, financial services and capital solutions, and social impact initiatives. Burkhan World Investments aims to strengthen national resilience, accelerate innovation, and generate long-term value by investing in future-defining industries where technology, infrastructure, and economic development converge.    Guided by disciplined governance and a future-oriented investment philosophy, Burkhan World Investments builds integrated platforms where technology, industry, infrastructure, and society evolve together. The firm operates a diversified ecosystem of companies advancing mission-critical industries across global markets, each entity contributing to a unified ecosystem designed to support national development, industrial growth, and long-term value creation.</t>
  </si>
  <si>
    <t>Private Equity, Venture Capital, Real Estate, Infrastructure, Energy, Mining, Technology, Media, Financial Services, Social Impact</t>
  </si>
  <si>
    <t>Financial Services, Technology, Energy, Real Estate, Infrastructure, Telecommunications, Media, Education, Artificial Intelligence, Hospitality, Cybersecurity, Semiconductors, Mining, Defense, Social Impact</t>
  </si>
  <si>
    <t>United States, Canada, United Arab Emirates, Saudi Arabia, Pakistan, Afghanistan</t>
  </si>
  <si>
    <t>Sustainable and high-impact economic transformation, Alignment with national and industrial priorities, Partnerships with governments, sovereign institutions, and private enterprises, Focus on technology, infrastructure, natural resources, real estate, finance, and social development</t>
  </si>
  <si>
    <t>Grand Mines Mining LLC, Watad Digital, Advanced Aircraft Technology (AAT), Blaize, Khan Institute, Plaza Hotel Transaction, White City Ventures, Trinity Hospitality Group, CRME, Fairchild Gold Corp</t>
  </si>
  <si>
    <t>FMO (Nederlandse Financierings-Maatschappij voor Ontwikkelingslanden N.V.)</t>
  </si>
  <si>
    <t>https://www.fmo.nl</t>
  </si>
  <si>
    <t>https://www.linkedin.com/company/fmo/</t>
  </si>
  <si>
    <t>FMO is the Dutch entrepreneurial development bank, established in 1970, that invests in over 85 countries to support jobs and income generation, improving people's lives in regions where it makes the most impact. It partners with other financiers to open new markets and opportunities, taking on challenging investments and sharing significant risk. FMO focuses on sectors with high development impact: Agribusiness, Food &amp; Forestry, Energy, and Financial Institutions. Its head office is in The Hague, Netherlands, with local offices in Johannesburg (South Africa), Nairobi (Kenya), and San José (Costa Rica).    FMO's investment strategy includes providing equity financing, loans, trade finance, and credit guarantees. It manages funds for the Dutch Ministries of Foreign Affairs and Economic Affairs to maximize the development impact of private sector investments. The Dutch government holds 51% of the shares, but FMO operates as a commercial company. In 2024, FMO reported assets of €11.10 billion and after-tax revenue of €297 million.    FMO's mission is to promote sustainable private sector growth in developing countries and emerging markets by investing in ambitious projects and entrepreneurs. It believes that a strong private sector leads to economic and social development and has a proven track record in enabling entrepreneurs to make local economies more inclusive, productive, resilient, and sustainable. FMO's investments aim to reduce inequalities and combat climate change, aligning with the Dutch government's policy objectives of local prosperity and stability.</t>
  </si>
  <si>
    <t>Early Stage, Growth, Late Stage, Buyout, Turnaround, Distressed</t>
  </si>
  <si>
    <t>India, Brazil, Mexico, Indonesia, Ghana, Kenya, Egypt, Tunisia, Libya, Morocco, Algeria, Pakistan, Jordan, Bangladesh, Somalia, South Africa, Vietnam, Malaysia, Afghanistan, Bosnia and Herzegovina, Niger, Sudan, Mali, Chad, Ethiopia, Djibouti, Mauritania, Philippines, Kosovo, Nigeria, Rwanda, Zambia, Argentina, Peru, Comoros, Sao Tome and Principe, Eritrea, Uganda, Tanzania, Burundi, South Sudan, Mauritius, Sri Lanka, Nepal, Bhutan, Cambodia, Laos, El Salvador, Bolivia, Venezuela, Dominican Republic, Cameroon, Senegal, Côte d'Ivoire, Mozambique, Palestinian Territories, Angola, Albania, Armenia, Ecuador, Paraguay, Guatemala, Honduras, Nicaragua, Uzbekistan, Kyrgyzstan, Jamaica, Benin, Zimbabwe, Gabon, Botswana, Namibia, Malawi, Sierra Leone, Liberia, Burkina Faso, Central African Republic, Gambia, Guinea, Guinea-Bissau, Lesotho, Madagascar, Togo, West Bank and Gaza, Eswatini, Cabo Verde, Congo, Democratic Republic, Congo, Republic</t>
  </si>
  <si>
    <t>Focus on emerging markets, Alignment with sustainable development goals, Potential for significant social and economic impact, Viable business models with clear growth strategies, Strong management teams with local expertise, Commitment to environmental and social responsibility</t>
  </si>
  <si>
    <t>Genneia, Proparco, Solar-BESS Project in Egypt</t>
  </si>
  <si>
    <t>Lanka ORIX Leasing Company PLC</t>
  </si>
  <si>
    <t>100/1 Sri Jayawardenepura Mawatha, Rajagiriya</t>
  </si>
  <si>
    <t>Western Province</t>
  </si>
  <si>
    <t>LK</t>
  </si>
  <si>
    <t>https://www.lolc.com</t>
  </si>
  <si>
    <t>info@lolc.com</t>
  </si>
  <si>
    <t>+94 11 588 0880</t>
  </si>
  <si>
    <t>Lanka ORIX Leasing Company PLC (LOLC) is a diversified financial and industrial conglomerate headquartered in Sri Lanka. Established in 1981, LOLC has evolved from a pioneering leasing company into a multifaceted group with significant interests in various sectors, including financial services, agriculture, real estate, renewable energy, and leisure and hospitality. The company operates across multiple countries, including Sri Lanka, Cambodia, Myanmar, Indonesia, the Philippines, Pakistan, Zambia, Zimbabwe, Nigeria, Tanzania, Malawi, Egypt, Kenya, Ghana, Sierra Leone, Rwanda, the Democratic Republic of the Congo, Tajikistan, Kyrgyzstan, Kazakhstan, the Maldives, Mauritius, Australia, and the United Arab Emirates. This extensive geographical presence underscores LOLC's commitment to promoting financial inclusion and economic development in emerging markets.  LOLC's investment strategy is characterized by a diversified portfolio that spans multiple asset classes, including fixed income, private equity, real estate, and venture capital. The company focuses on various stages of investment, ranging from early-stage ventures to growth, late-stage, buyouts, turnarounds, and distressed assets. This comprehensive approach enables LOLC to cater to a wide array of investment opportunities, aligning with its mission to empower communities and foster sustainable economic growth. The company's investments are spread across numerous industries, such as financial services, agriculture, real estate, renewable energy, leisure and hospitality, healthcare, education, construction, telecommunications, retail, automotive, technology, media, transportation, and logistics.  Over the years, LOLC has demonstrated a strong track record of profitability and growth. By 2019/20, the company was among the most profitable in Sri Lanka, adopting an aggressive expansion strategy that included significant investments in countries like Cambodia, Myanmar, Pakistan, the Philippines, Indonesia, Nigeria, and Zambia. In January 2021, LOLC's market capitalization exceeded $1 billion, reflecting its robust financial performance and investor confidence. The company's success is attributed to its diversified business model, strategic investments, and commitment to sustainable development, positioning LOLC as a leading player in the financial and industrial sectors in Sri Lanka and beyond.</t>
  </si>
  <si>
    <t>Financial Services, Technology, Healthcare, Real Estate, Telecommunications, Media, Automotive, Retail, Education, Renewable Energy, Agriculture, Logistics, Transportation, Construction, Leisure and Hospitality</t>
  </si>
  <si>
    <t>Australia, United Arab Emirates, Indonesia, Ghana, Kenya, Egypt, Pakistan, Philippines, Nigeria, Rwanda, Zambia, Tanzania, Mauritius, Maldives, Sri Lanka, Myanmar, Cambodia, Democratic Republic of the Congo, Kazakhstan, Kyrgyzstan, Tajikistan, Zimbabwe, Malawi, Sierra Leone</t>
  </si>
  <si>
    <t>Strong financial performance, Commitment to sustainable development, Alignment with LOLC's strategic objectives, Potential for significant growth and impact</t>
  </si>
  <si>
    <t>LOLC Finance PLC, LOLC Micro Credit Limited, LOLC General Insurance Limited, LOLC Life Assurance Limited, LOLC Properties Limited, LOLC Leisure Limited, LOLC Agriculture Limited, LOLC Renewable Energy Limited, LOLC Real Estate Limited, LOLC Technologies Limited</t>
  </si>
  <si>
    <t>BottleCo (Private) Limited</t>
  </si>
  <si>
    <t>C 27 Sector 31 A, Korangi Mehran Town Extension, Karachi, Sindh, 74900 PK</t>
  </si>
  <si>
    <t>https://kidco.com.pk</t>
  </si>
  <si>
    <t>sales@kidco.com.pk</t>
  </si>
  <si>
    <t>+92.21.35070667 - 8, +92.318.1138337</t>
  </si>
  <si>
    <t>BottleCo (Private) Limited is a private equity firm based in Karachi, Pakistan, focusing on investments across various sectors such as technology and consumer goods. The firm aims to identify and support high-potential companies within these industries, contributing to their growth and development.    With a strategic approach, BottleCo engages in early-stage, growth, and buyout investments, providing capital and expertise to foster business expansion. The firm's portfolio spans multiple industries, reflecting its commitment to diversifying its investment holdings.    By leveraging its industry knowledge and financial resources, BottleCo (Private) Limited seeks to create value for its stakeholders and drive economic progress within Pakistan's dynamic market landscape.</t>
  </si>
  <si>
    <t>Consumer Goods, Technology</t>
  </si>
  <si>
    <t>Financial Services, Technology, Healthcare, Energy, Consumer Goods, Real Estate, Telecommunications, Media, Retail, Education, Agriculture, Transportation, Hospitality, Construction, Entertainment</t>
  </si>
  <si>
    <t>Strong management team, Scalable business model, Clear product differentiation, Exposure to large addressable markets, Early traction in the market</t>
  </si>
  <si>
    <t>Bykea Technologies (Pvt) Limited, Optimus Technology (Pvt) Limited, Ravi Spherocast (Pvt) Limited, CALCORP Limited, Retail Holdings (Pvt) Limited, Partners Resource Linked (Pvt) Limited, Optimus Limited, Athena Brands (Pvt) Limited, Bykea Technologies BV</t>
  </si>
  <si>
    <t>Ravi Spherocast (Pvt.) Ltd.</t>
  </si>
  <si>
    <t>18-KM Sheikhupura Road, Lahore</t>
  </si>
  <si>
    <t>https://www.ravispherocast.com</t>
  </si>
  <si>
    <t>info@ravispherocast.com</t>
  </si>
  <si>
    <t>3054441640</t>
  </si>
  <si>
    <t>Ravi Spherocast (Pvt.) Ltd. is a private equity firm based in Lahore, Pakistan, focusing on investments across diverse sectors such as technology and consumer goods. The firm is part of the Ravi Group, a conglomerate with over 68 years of experience in the automotive and manufacturing industries. Ravi Spherocast operates alongside other group companies, including Ravi Automobile Pvt. Ltd. and Infinity Engineering Pvt. Ltd., contributing to the group's extensive portfolio.  The firm's investment strategy emphasizes growth and buyout opportunities within the automotive and manufacturing sectors. Ravi Spherocast has been involved in significant transactions, such as the equity injection from Ithaca Capital (Pvt.) Ltd., which acquired a 51% stake in Ravi Automobile Pvt. Ltd. in FY21. This partnership highlights Ravi Spherocast's commitment to fostering growth and operational excellence within its portfolio companies.  Ravi Spherocast's approach is characterized by a focus on technological innovation and sustainable growth. The firm leverages its extensive industry experience to identify and support companies with strong potential for development and market leadership. By integrating operational excellence and innovative practices, Ravi Spherocast aims to create value for stakeholders and drive profitable growth across its investments.</t>
  </si>
  <si>
    <t>Automotive, Manufacturing</t>
  </si>
  <si>
    <t>Established companies with growth potential, Operational excellence, Technological innovation</t>
  </si>
  <si>
    <t>Ravi Automobile Pvt. Ltd., Infinity Engineering Pvt. Ltd.</t>
  </si>
  <si>
    <t>CALCORP Limited</t>
  </si>
  <si>
    <t>48-C, Street 11, Khayaban-e-Jami, DHA Phase VII, Karachi</t>
  </si>
  <si>
    <t>https://www.calcorp.com.pk</t>
  </si>
  <si>
    <t>ilyas@heliosresol.com</t>
  </si>
  <si>
    <t>+92(21) 35397706</t>
  </si>
  <si>
    <t>CALCORP Limited, established on April 1, 1992, operates as a general-purpose holding company in Pakistan, engaging in investments across various sectors, including technology and consumer goods. The company is listed on the Pakistan Stock Exchange and is headquartered in Karachi.  The firm's investment strategy encompasses a diverse range of asset classes, such as private equity, real estate, infrastructure, and venture capital. CALCORP Limited targets multiple stages of investment, including growth, late stage, pre-IPO, buyout, turnaround, and distressed opportunities, primarily focusing on the Pakistani market.  CALCORP Limited has a history of strategic acquisitions and investments, reflecting its commitment to long-term value creation. The company's portfolio spans numerous industries, including technology, consumer goods, healthcare, financial services, real estate, energy, telecommunications, media, retail, education, transportation, logistics, agriculture, pharmaceuticals, and construction, demonstrating its broad investment approach and sectoral diversification.</t>
  </si>
  <si>
    <t>Financial Services, Technology, Healthcare, Energy, Consumer Goods, Real Estate, Telecommunications, Media, Retail, Education, Agriculture, Logistics, Transportation, Construction, Pharmaceuticals</t>
  </si>
  <si>
    <t>Preference for controlling stakes, Focus on companies with strong growth potential, Interest in both established businesses and startups, Willingness to engage in active management and strategic guidance</t>
  </si>
  <si>
    <t>Optimus Capital Management (Private) Limited</t>
  </si>
  <si>
    <t>1st Floor, State Life Building No. 1-B, I.I Chundrigar Road, Karachi</t>
  </si>
  <si>
    <t>https://optimus.pk/</t>
  </si>
  <si>
    <t>info@optimus.pk</t>
  </si>
  <si>
    <t>+92 21 3529 6888</t>
  </si>
  <si>
    <t>Optimus Capital Management (Private) Limited is a prominent private equity firm based in Karachi, Pakistan, specializing in investments across various sectors, notably technology and consumer goods. The firm offers a comprehensive suite of services, including investment banking, equity brokerage, online trading, economic and financial research, fixed income brokerage, and securities and futures advisory. As a TREC holder of the Pakistan Stock Exchange (PSX) and licensed by the Securities and Exchange Commission of Pakistan (SECP), Optimus Capital Management has established itself as a trusted entity in the financial services industry.    The firm's investment strategy is characterized by a focus on early-stage to late-stage investments, encompassing seed, growth, buyout, turnaround, and distressed situations. With a geographical focus primarily on Pakistan, Optimus Capital Management has a diverse portfolio spanning multiple industries, including technology, consumer goods, financial services, healthcare, energy, real estate, telecommunications, media, retail, manufacturing, agriculture, education, transportation, logistics, and pharmaceuticals. This broad industry engagement reflects the firm's commitment to fostering growth and innovation across the Pakistani economy.    Optimus Capital Management has a proven track record of successfully leading significant capital market transactions and private equity divestments in recent years. The firm's dedication to integrity, diligence, and a client-first approach has enabled it to build a distinguished client base comprising domestic and foreign institutional investors, large business groups, and high-net-worth individuals. This reputation underscores Optimus Capital Management's role as a key player in Pakistan's financial landscape, driving economic development and providing strategic investment solutions.</t>
  </si>
  <si>
    <t>Financial Services, Technology, Healthcare, Energy, Consumer Goods, Real Estate, Telecommunications, Media, Retail, Education, Agriculture, Logistics, Transportation, Pharmaceuticals, Manufacturing</t>
  </si>
  <si>
    <t>Alfalah Securities (Private) Limited, GDF Suez (now Engie), Siemens, Xenel, China Three Gorges, Sino Hydro</t>
  </si>
  <si>
    <t>Mustang HRSM (Pvt.) Ltd.</t>
  </si>
  <si>
    <t>Office # 1-3, Plot # C-121, 3rd Floor, Ehtesham Centre, Main Korangi Road, Karachi</t>
  </si>
  <si>
    <t>https://www.mustang365.com/</t>
  </si>
  <si>
    <t>info@mustang365.com</t>
  </si>
  <si>
    <t>+92 213 5801390-9</t>
  </si>
  <si>
    <t>Mustang HRSM (Pvt.) Ltd. is a private equity firm based in Karachi, Pakistan, specializing in investments within the technology and consumer goods sectors. The firm is part of the Mustang Group, which also includes Mustang Security Services (Pvt.) Ltd. and Mustang Eye (Pvt.) Ltd., indicating a diversified portfolio in service-oriented businesses.    The firm's investment strategy encompasses various stages, including early-stage, growth, late-stage, and buyouts, with a geographical focus primarily on Pakistan. This approach allows Mustang HRSM to engage with a wide range of companies, from startups to established enterprises, across different industries such as technology, consumer goods, security services, human resources, and facilities management.    While specific details about Mustang HRSM's track record are not publicly disclosed, its association with the Mustang Group suggests a commitment to operational excellence and strategic growth. The firm's investments aim to enhance value through active management and support, leveraging the group's industry expertise and network to drive success in its portfolio companies.</t>
  </si>
  <si>
    <t>Technology, Consumer Goods, Security Services, Human Resources, Facilities Management</t>
  </si>
  <si>
    <t>Established business with a proven track record, Scalable business model, Strong management team, Clear growth potential, Alignment with Mustang HRSM's strategic focus areas</t>
  </si>
  <si>
    <t>Mustang Security Services (Pvt.) Ltd., Mustang Eye (Pvt.) Ltd.</t>
  </si>
  <si>
    <t>Al Shoula Group</t>
  </si>
  <si>
    <t>P.O. Box 76126, Riyadh 11922</t>
  </si>
  <si>
    <t>http://www.alshoulagroup.com</t>
  </si>
  <si>
    <t>info@alshoulagroup.com</t>
  </si>
  <si>
    <t>+966-1-2102777</t>
  </si>
  <si>
    <t>Established in 1970 by Mishaal Al Saud, Al Shoula Group is a prominent private investment firm headquartered in Riyadh, Saudi Arabia. The firm has a diverse portfolio encompassing real estate, oil and gas, insurance, cement manufacturing, and international finance. Over the years, Al Shoula Group has expanded its investments to include the primary and secondary tiers of the petroleum and petrochemical industries, cement manufacturing, and international finance. The company has been involved in multi-billion-dollar projects across Saudi Arabia and the Gulf region, contributing significantly to the economic development of the area.    Under the leadership of CEO Abdulaziz Al Saud, the firm has continued to diversify its investments, focusing on sectors such as construction, retail, agriculture, telecommunications, healthcare, education, hospitality, transportation, and logistics. This strategic diversification has enabled Al Shoula Group to adapt to changing market dynamics and capitalize on emerging opportunities. The company's commitment to excellence and innovation has solidified its reputation as a key player in the Middle East's investment landscape.    Al Shoula Group's investment philosophy centers on long-term value creation, strategic partnerships, and a deep understanding of regional markets. The firm's proactive approach to identifying and nurturing high-potential ventures has led to successful collaborations with various stakeholders, including government entities, private sector companies, and international partners. This collaborative approach has been instrumental in driving the firm's growth and sustaining its competitive edge in the market.</t>
  </si>
  <si>
    <t>Real Estate, Oil and Gas, Insurance, Cement Manufacturing, Petroleum and Petrochemical Industries, International Finance</t>
  </si>
  <si>
    <t>Healthcare, Real Estate, Telecommunications, Insurance, Retail, Education, Agriculture, Logistics, Transportation, Hospitality, Construction, Oil and Gas, Cement Manufacturing, Petroleum and Petrochemical Industries, International Finance</t>
  </si>
  <si>
    <t>China, India, United Arab Emirates, Saudi Arabia, Qatar, Kuwait, Oman, Egypt, Lebanon, Bahrain, Turkey, Pakistan, Jordan, Iraq, Afghanistan, Palestine, Yemen, Syria, Iran</t>
  </si>
  <si>
    <t>Strong market position, Scalable business model, Experienced management team, Potential for long-term growth, Alignment with Al Shoula Group's strategic objectives</t>
  </si>
  <si>
    <t>Yanbu Cement Company, Dhahran Global, Emaar Group, Bayt Al Mal Investment Company, Tameer Group</t>
  </si>
  <si>
    <t>Al Rajhi Group Holding Co.</t>
  </si>
  <si>
    <t>Al Ulaya, Al Khobar 34447</t>
  </si>
  <si>
    <t>https://www.alrajhigroup.sa</t>
  </si>
  <si>
    <t>https://www.linkedin.com/company/alrajhi-holding-group</t>
  </si>
  <si>
    <t>info@alrajhigroup.sa</t>
  </si>
  <si>
    <t xml:space="preserve">Al Rajhi Group Holding Co. is a prominent conglomerate based in Saudi Arabia, with a diversified portfolio spanning various sectors including financial services, engineering, oil and gas, information technology, energy, healthcare, food and beverage, building materials, commodities, infrastructure, utilities, media, beauty, contracting, construction, logistics, supply chain, and telecommunications. The group has a significant presence in the Middle East and North Africa region, with operations in countries such as Saudi Arabia, United Arab Emirates, Bahrain, Kuwait, Jordan, Malaysia, Syria, Egypt, Qatar, Oman, Lebanon, Iraq, Turkey, Pakistan, India, Bangladesh, Afghanistan, Yemen, Sudan, Algeria, and Tunisia.    The group's investment strategy focuses on growth, late-stage investments, buyouts, turnarounds, and distressed assets, with investment sizes ranging from $1 million to $50 million. Al Rajhi Group Holding Co. is committed to excellence and sustainability, contributing to its expanding impact on both regional and global levels, while fostering growth and adding value for all stakeholders.    The group operates through various subsidiaries, each specializing in its respective sector, and is led by a professional team with diverse and integrated expertise. The group's vision is to be a leading Saudi investment group that effectively contributes to the national economy by managing a diversified portfolio in strategic sectors that deliver sustainable growth and rewarding returns.    </t>
  </si>
  <si>
    <t>Private Equity, Real Estate, Industrial, Financial Services, Oil &amp; Gas, Information Technology, Engineering, Energy, Healthcare, Food &amp; Beverage, Building Materials, Commodities, Infrastructure, Utilities, Media, Beauty, Contracting, Construction, Logistics, Supply Chain, Telecommunications</t>
  </si>
  <si>
    <t>Financial Services, Healthcare, Energy, Infrastructure, Telecommunications, Utilities, Media, Logistics, Contracting, Construction, Oil &amp; Gas, Information Technology, Food &amp; Beverage, Supply Chain, Beauty, Commodities, Engineering, Building Materials</t>
  </si>
  <si>
    <t>India, United Arab Emirates, Saudi Arabia, Qatar, Kuwait, Oman, Egypt, Tunisia, Algeria, Lebanon, Bahrain, Turkey, Pakistan, Jordan, Bangladesh, Iraq, Malaysia, Afghanistan, Sudan, Yemen, Syria</t>
  </si>
  <si>
    <t>High-quality investments led by a globally experienced professional team, Focus on innovation, efficiency, and sustainability, Commitment to business continuity and creating a positive impact on society and the economy</t>
  </si>
  <si>
    <t>Al Rajhi Bank, Al Rajhi Capital, Al Rajhi Takaful, Al Rajhi Development Company, Al Rajhi for Administrative Services Company, urpay, neoleap, Emkan, Al Rajhi Cement, Al Rajhi Steel, Al Rajhi Real Estate, Al Rajhi Industrial Group, Al Rajhi Trading, Al Rajhi Construction, Al Rajhi Logistics, Al Rajhi Telecommunications, Al Rajhi Media, Al Rajhi Beauty, Al Rajhi Healthcare, Al Rajhi Food Industries</t>
  </si>
  <si>
    <t>Saudi Aramco</t>
  </si>
  <si>
    <t>Dhahran, Eastern Province</t>
  </si>
  <si>
    <t>https://www.aramco.com</t>
  </si>
  <si>
    <t>https://www.linkedin.com/company/saudi-aramco</t>
  </si>
  <si>
    <t>info@aramco.com</t>
  </si>
  <si>
    <t>+966 13 872 0111</t>
  </si>
  <si>
    <t xml:space="preserve">Saudi Aramco is a state-owned oil giant from Saudi Arabia, operating as one of the world's largest integrated energy and chemicals companies. The company manages extensive hydrocarbon reserves and has a strategically integrated global downstream business, employing over 75,000 people worldwide. Aramco's operations encompass exploration, production, refining, petrochemicals, and distribution, with a significant presence in both upstream and downstream sectors.    Aramco's investment strategy is diverse, focusing on various asset classes such as commodities, infrastructure, private equity, real estate, and venture capital. The company engages in investments across multiple stages, including growth, late stage, pre-IPO, buyout, turnaround, and distressed situations. Geographically, Aramco's investments span regions including Saudi Arabia, the United States, China, India, Chile, Pakistan, South Korea, Japan, Europe, Africa, Asia, the Middle East, Latin America, Russia, Australia, Southeast Asia, Central Asia, Central America, the Caribbean, North America, and South America. The company has a broad industry focus, encompassing sectors like oil and gas, energy, chemicals, renewable energy, technology, infrastructure, manufacturing, retail, telecommunications, automotive, healthcare, financial services, media, construction, and transportation.    Aramco's investment philosophy emphasizes strategic partnerships and collaborations to enhance shareholder value and support its long-term growth objectives. The company has engaged in significant agreements and investments, including Memoranda of Understanding (MoUs) and agreements with major companies in the United States, China, and other regions. These collaborations aim to foster innovation, advance technology, and support the global energy transition. Aramco's investments also include ventures in renewable energy projects, such as solar power initiatives, and advancements in artificial intelligence and digital technologies, reflecting its commitment to diversifying its portfolio and embracing sustainable practices.    </t>
  </si>
  <si>
    <t>Commodities, Infrastructure, Private Equity, Real Estate, Venture Capital</t>
  </si>
  <si>
    <t>Financial Services, Technology, Healthcare, Energy, Infrastructure, Telecommunications, Media, Automotive, Retail, Renewable Energy, Transportation, Construction, Manufacturing, Chemicals, Oil and Gas</t>
  </si>
  <si>
    <t>United States, Japan, Australia, Europe, Asia, China, India, Latin America, South Korea, Saudi Arabia, Middle East, Pakistan, Russia, Southeast Asia, Chile, Africa, South America, Central Asia, North America, Caribbean, Central America</t>
  </si>
  <si>
    <t>Strategic alignment with Aramco's business objectives, Potential for long-term value creation, Technological innovation and advancement, Support for global energy transition and sustainability goals, Strong financial performance and stability, Compliance with regulatory and environmental standards, Cultural and operational compatibility with Aramco's corporate values</t>
  </si>
  <si>
    <t>MidOcean Energy, Commonwealth LNG, HORSE Powertrain, Sinopec, Fujian Petrochemical Company Limited, Syensqo, Wisayah Asset Management, Loomis Sayles, Blackstone, PGIM, Inc., J.P. Morgan, SLB, Baker Hughes, McDermott, Halliburton, Nabors, Helmerich &amp; Payne, Valaris, NESR, Weatherford</t>
  </si>
  <si>
    <t>Arif Habib Group</t>
  </si>
  <si>
    <t>Arif Habib Centre, 23, M.T. Khan Road, Karachi - 744000</t>
  </si>
  <si>
    <t>https://www.arifhabib.com.pk/</t>
  </si>
  <si>
    <t>info@arifhabibcorp.com</t>
  </si>
  <si>
    <t>+92 21 32415213-45</t>
  </si>
  <si>
    <t>Arif Habib Group is a prominent Pakistani conglomerate with diversified investments across multiple sectors. The group has built and continues to develop businesses in areas such as financial services, fertilizers, cement, steel, renewable energy, and real estate development. Over time, the group has diversified into emerging business areas, contributing notably to Pakistan's economy. The group's success is attributed to its management team, comprising experienced individuals, and its focus on continuous investment in human capital, information systems, risk management, and good corporate governance.  The group's mission is to excel in perceiving, developing, and executing innovative projects across business sectors with the aim of maximizing returns for stakeholders, while playing a significant role in developing Pakistan's economy and its integration into the world markets. The group has received several prestigious national and regional awards in recognition of its consistently strong financial performance, sound corporate governance practices, and transparent comprehensive financial reporting through its reliable and experienced management team.  Arif Habib Group's vision is to be Pakistan's leading investment company, delivering both competitive financial returns and a positive impact on the country's economy and its people through responsible investing. The group focuses on continuous investment in human capital, information systems, risk management, good corporate governance, and adherence to global best practices. An important part of the group's strategy is to continue raising the bar and transforming challenges into opportunities.</t>
  </si>
  <si>
    <t>Financial Services, Renewable Energy, Real Estate Development, Steel, Fertilizers, Cement</t>
  </si>
  <si>
    <t>IQI Global</t>
  </si>
  <si>
    <t>26th - 28th Floor, Tower D, Millerz Square, No. 357, Old Klang Road, 58000, Kuala Lumpur</t>
  </si>
  <si>
    <t>https://www.iqiglobal.com/</t>
  </si>
  <si>
    <t>https://www.linkedin.com/company/iqi-group</t>
  </si>
  <si>
    <t>info@iqiglobal.com</t>
  </si>
  <si>
    <t>+(60)3 7453 5155</t>
  </si>
  <si>
    <t>IQI Global is a prominent real estate investment and services firm with a substantial presence in Karachi, Pakistan. The company specializes in offering investment opportunities in real estate and related sectors, leveraging its extensive international network to facilitate cross-border property transactions. With offices in over 30 countries and a team of more than 60,000 real estate negotiators, IQI Global provides comprehensive services that encompass residential, commercial, and retail real estate sectors. Their operations are supported by innovative technology and a commitment to professional excellence, ensuring tailored solutions for diverse client needs.    The firm's investment strategy focuses on growth, late-stage, pre-IPO, and buyout opportunities, primarily within the real estate sector. By combining global insights with local expertise, IQI Global aims to deliver value to its clients through strategic investments and property transactions. The company's approach emphasizes a holistic service model, offering consultancy, project marketing, interior design, renovation, hospitality services, property technology, education, and training. This comprehensive suite of services enables IQI Global to address various aspects of the real estate investment process, catering to a wide range of client requirements.    IQI Global's track record reflects its dedication to excellence and innovation in the real estate industry. The company's expansion into multiple international markets demonstrates its ability to adapt to diverse real estate landscapes and meet the evolving needs of investors and clients worldwide. By continually enhancing its digital platforms and expanding its global footprint, IQI Global remains committed to providing seamless and efficient real estate investment solutions, solidifying its position as a leader in the global real estate sector.</t>
  </si>
  <si>
    <t>Real Estate, Consultancy, Investment Services, Interior Design, Hospitality Services, Renovation, Education and Training, Property Technology, Project Marketing</t>
  </si>
  <si>
    <t>United States, United Kingdom, Canada, Japan, Australia, Singapore, China, India, United Arab Emirates, Indonesia, South Korea, Saudi Arabia, Qatar, Pakistan, Bangladesh, Vietnam, Malaysia, New Zealand, Philippines, Thailand</t>
  </si>
  <si>
    <t>Interest in real estate and related sectors, Preference for growth, late-stage, pre-IPO, or buyout opportunities, Willingness to engage in cross-border property transactions</t>
  </si>
  <si>
    <t>Juwai IQI, IQI Realty, IQI Concept, IQI Connect, IQI Atlas, IQI Pilot, IQI Academy, IQI Property Management, IQI Development, IQI Hospitality, IQI Design, IQI Renovation, IQI Education, IQI Training, IQI Consultancy, IQI Project Marketing, IQI Investment Services, IQI Technology, IQI Ventures, IQI Capital</t>
  </si>
  <si>
    <t>Royal Group</t>
  </si>
  <si>
    <t>P.O. Box 5151, Abu Dhabi, UAE</t>
  </si>
  <si>
    <t>https://www.royalgroupuae.com</t>
  </si>
  <si>
    <t>https://www.linkedin.com/company/royal_group_llc/</t>
  </si>
  <si>
    <t>info@royalgroupuae.com</t>
  </si>
  <si>
    <t>+971 2 8111111</t>
  </si>
  <si>
    <t>Royal Group is a diversified conglomerate based in Abu Dhabi, United Arab Emirates, with interests in various sectors including manufacturing and real estate. The group is owned by the Abu Dhabi royal family and is chaired by Tahnoon bin Zayed al-Nahyan. As of 2025, it had assets totaling $300 billion USD and owned a 61% share of the International Holding Company, which has a market capitalization of $240 billion USD. The group employs approximately 27,600 people from more than 90 countries.    The group's investment focus spans multiple industries, including media, trade, financing, real estate, manufacturing, construction, information technology, education, entertainment, healthcare, hospitality, retail, and robotics. It has a significant presence in the United Arab Emirates and has expanded its investments to various countries worldwide.    Royal Group's investment strategy involves diversification based on business expertise and establishing solid partnerships with reputable local and international companies. The group has undertaken notable projects such as Reem Island, a $60 billion real estate development considered one of the most significant expansions in Abu Dhabi. Its constant growth is driven by persistence, continuous improvement, and the dedication of its team, aiming to achieve ambitious and sustainable goals for the future.</t>
  </si>
  <si>
    <t>Real Estate, Manufacturing, Media, Trade, Financing, Construction, Information Technology, Education, Entertainment, Healthcare, Hospitality, Retail, Robotics</t>
  </si>
  <si>
    <t>Healthcare, Real Estate, Media, Retail, Education, Hospitality, Construction, Manufacturing, Entertainment, Robotics, Information Technology, Trade, Financing</t>
  </si>
  <si>
    <t>United States, United Kingdom, Germany, China, India, France, United Arab Emirates, Saudi Arabia, Qatar, Kuwait, Oman, Egypt, Lebanon, Bahrain, Turkey, Pakistan, Jordan, Iraq, Yemen, Syria, Iran</t>
  </si>
  <si>
    <t>Strong business expertise, Solid partnerships with reputable companies, Commitment to sustainable growth, Adaptability to changing market conditions, Focus on innovation and continuous improvement</t>
  </si>
  <si>
    <t>International Holding Company, RoyalJet, Royal Development Company, Royal Gulf Group, Emirates Royal Holding</t>
  </si>
  <si>
    <t>SEDCO Holding</t>
  </si>
  <si>
    <t>South Tower of Red Sea Mall, Ash Shati District, King Abdulaziz Road, Jeddah 21491, Saudi Arabia</t>
  </si>
  <si>
    <t>https://sedco.com/</t>
  </si>
  <si>
    <t>https://www.linkedin.com/company/systems-and-electronic-development-fzco</t>
  </si>
  <si>
    <t>info@sedco.com</t>
  </si>
  <si>
    <t>+966 12 690 6666</t>
  </si>
  <si>
    <t>SEDCO Holding is a prominent Saudi private investment firm established in 1976, renowned for its diversified portfolio spanning real estate, equities, and other business sectors. The firm is committed to Shariah-compliant investments, emphasizing sustainability and social impact in its operations. With a strong presence in Saudi Arabia and international markets, SEDCO Holding has played a pivotal role in the economic diversification of the Kingdom through strategic investments in key industries such as healthcare, education, hospitality, travel and tourism, real estate, and asset management.    The firm's investment strategy focuses on long-term value creation, targeting growth, late-stage, pre-IPO, buyout, turnaround, and distressed opportunities. SEDCO Holding's geographical focus includes Saudi Arabia, the United States, the United Kingdom, the United Arab Emirates, Qatar, Kuwait, Bahrain, Oman, Egypt, Jordan, Lebanon, Turkey, Malaysia, Indonesia, Singapore, China, India, Pakistan, South Africa, Australia, and Canada. This extensive reach enables the firm to leverage diverse market opportunities and foster sustainable growth across its portfolio.    SEDCO Holding's commitment to excellence is reflected in its adherence to the highest corporate governance standards and its proactive approach to sustainability. The firm's investments have contributed to the nation's economic growth and societal advancement, aligning with its mission to drive prosperity for generations to come. Through strategic partnerships and a focus on impactful investments, SEDCO Holding continues to be a leading force in the Saudi investment landscape, exemplifying a model of ethical and responsible investing.</t>
  </si>
  <si>
    <t>Real Estate, Equities, Other Businesses</t>
  </si>
  <si>
    <t>Financial Services, Technology, Healthcare, Energy, Consumer Goods, Real Estate, Telecommunications, Media, Asset Management, Retail, Education, Transportation, Hospitality, Construction, Travel and Tourism</t>
  </si>
  <si>
    <t>United States, United Kingdom, Canada, Australia, Singapore, China, India, United Arab Emirates, Indonesia, Saudi Arabia, Qatar, Kuwait, Oman, Egypt, Lebanon, Bahrain, Turkey, Pakistan, Jordan, South Africa, Malaysia</t>
  </si>
  <si>
    <t>Shariah-compliant investments, Sustainable and socially impactful projects, Long-term value creation, Alignment with corporate governance standards, Diversified asset classes</t>
  </si>
  <si>
    <t>Al Mahmal Center, Red Sea Mall, Elaf Group, Nahdi Medical Company</t>
  </si>
  <si>
    <t>DAMAC Group</t>
  </si>
  <si>
    <t>Barsha Heights - Tecom, Dubai, United Arab Emirates</t>
  </si>
  <si>
    <t>https://www.damacgroup.com/en-ae/</t>
  </si>
  <si>
    <t>https://www.linkedin.com/company/damac-group</t>
  </si>
  <si>
    <t>corporatecommunications@damacgroup.com</t>
  </si>
  <si>
    <t>+97144016204</t>
  </si>
  <si>
    <t>DAMAC Group, established in 1982 and headquartered in Dubai, United Arab Emirates, is a private global conglomerate founded by Hussain Sajwani. The company has diversified its portfolio to include property development, real estate, data centres, retail and fashion, hospitality, and capital markets. With a presence across Europe, North America, Asia, and the MENA region, DAMAC is recognized for its innovation and luxury offerings. The group employs over 10,000 individuals from more than 100 nationalities, reflecting its global reach and diverse expertise.    The group's property development arm, DAMAC Properties, is one of the largest real estate developers in the Middle East, delivering over 47,000 homes with projects in Dubai, London, Miami, and more. It collaborates with global brands like Versace, Cavalli, and de GRISOGONO to create iconic living experiences. DAMAC's hospitality division owns hotel assets under brands such as Radisson, Paramount, and Rotana, with an expanding portfolio. Beyond real estate, DAMAC is a leader in the data centre industry through EDGNEX and has acquired luxury brands Roberto Cavalli and de GRISOGONO.    DAMAC Group's investment strategy focuses on both direct investments and fund allocations, aiming to preserve and grow family wealth. The company seeks opportunities that align with long-term value creation and disciplined risk management, leveraging its experience across sectors and geographies. This approach has enabled DAMAC to establish a strong presence in various industries, contributing to its reputation as a dynamic and successful private sector company in the Middle East.</t>
  </si>
  <si>
    <t>Real Estate, Private Equity, Capital Markets, Data Centres, Retail and Fashion, Hospitality</t>
  </si>
  <si>
    <t>Technology, Healthcare, Real Estate, Media, Retail, Education, Logistics, Food and Beverage, Hospitality, Construction, Entertainment, Fashion, Sports, Data Centres, Capital Markets</t>
  </si>
  <si>
    <t>United States, United Kingdom, Canada, China, India, United Arab Emirates, Saudi Arabia, Qatar, Kuwait, Oman, Egypt, Lebanon, Bahrain, Turkey, Pakistan, Jordan, Iraq, Russia, Maldives</t>
  </si>
  <si>
    <t>Shanghai Industrial Holdings Limited</t>
  </si>
  <si>
    <t>5/F, 48-50 Connaught Road Central, Hong Kong</t>
  </si>
  <si>
    <t>https://www.shindustrial.com</t>
  </si>
  <si>
    <t>info@shindustrial.com</t>
  </si>
  <si>
    <t>+852 2522 1838</t>
  </si>
  <si>
    <t>Shanghai Industrial Holdings Limited is a diversified conglomerate based in Hong Kong, with investments spanning real estate, healthcare, and consumer products. The company operates through various subsidiaries, including Shanghai Industrial Urban Development Group Limited, Shanghai Industrial Pharmaceutical Holdings Limited, and Shanghai Industrial Holdings Limited. These subsidiaries engage in property development, pharmaceutical manufacturing, and consumer goods production, respectively. The company's real estate segment focuses on residential, commercial, and industrial properties, while the healthcare segment includes the production and distribution of pharmaceutical products. The consumer products segment encompasses a range of goods, including food and beverage items, household products, and personal care items. Shanghai Industrial Holdings Limited employs a growth-oriented investment strategy, targeting opportunities in established markets such as China, Hong Kong, the United States, and the United Kingdom, as well as emerging markets in Asia and other regions. The company's portfolio includes a diverse range of industries, reflecting its commitment to strategic diversification and long-term value creation. Shanghai Industrial Holdings Limited has a track record of successful investments, with a focus on sustainable growth and value creation across its diverse portfolio. The company's investment philosophy emphasizes strategic diversification, long-term value creation, and a commitment to sustainable growth across its various business segments. This approach has enabled Shanghai Industrial Holdings Limited to establish a strong presence in multiple industries and markets, contributing to its reputation as a leading diversified conglomerate in the region.</t>
  </si>
  <si>
    <t>Real Estate, Healthcare, Consumer Products</t>
  </si>
  <si>
    <t>Financial Services, Technology, Healthcare, Energy, Real Estate, Infrastructure, Telecommunications, Media, Retail, Education, Agriculture, Consumer Products, Logistics, Transportation, Food and Beverage, Hospitality, Construction, Pharmaceuticals, Entertainment, Mining</t>
  </si>
  <si>
    <t>United States, United Kingdom, Hong Kong, Japan, Australia, Singapore, China, India, Indonesia, South Korea, Pakistan, Bangladesh, Vietnam, Mongolia, Malaysia, Afghanistan, Philippines, Thailand, Sri Lanka, Nepal, Myanmar</t>
  </si>
  <si>
    <t>Established companies with a proven track record, Opportunities with potential for sustainable growth, Investments aligned with the company's strategic focus areas</t>
  </si>
  <si>
    <t>Shanghai Industrial Urban Development Group Limited, Shanghai Industrial Pharmaceutical Holdings Limited, Shanghai Industrial Holdings Limited</t>
  </si>
  <si>
    <t>Techstars Hub71 Accelerator</t>
  </si>
  <si>
    <t>Abu Dhabi Global Market Square, Al Maryah Island, Abu Dhabi</t>
  </si>
  <si>
    <t>https://www.techstars.com/accelerators/hub71</t>
  </si>
  <si>
    <t>The Techstars Hub71 Accelerator is a global accelerator program based in Abu Dhabi, UAE, designed to support early-stage startups across various industries. The program offers hands-on mentorship, access to a vast network of investors, and resources to help startups scale their businesses. It is a collaboration between Techstars, a worldwide network that helps entrepreneurs succeed, and Hub71, Abu Dhabi's global tech ecosystem.  The accelerator focuses on startups in sectors such as AgTech, E-commerce, EdTech, Fintech, Healthtech, and PropTech. It seeks companies that leverage technologies like Artificial Intelligence, Big Data, Deep Analytics, Machine Learning, or Robotics to create significant impact. The program is open to entrepreneurs worldwide, aiming to foster innovation and economic development in the Middle East region.  Since its inception, the Techstars Hub71 Accelerator has successfully supported numerous startups, contributing to the growth of the tech ecosystem in Abu Dhabi. The program continues to attract diverse founders and innovative companies, reinforcing its commitment to nurturing global talent and driving technological advancements in the region.</t>
  </si>
  <si>
    <t>Financial Services, Technology, Healthcare, Energy, Consumer Goods, Real Estate, Telecommunications, Media, Education, Agriculture, E-commerce, Logistics, Transportation, Hospitality, Tourism</t>
  </si>
  <si>
    <t>United States, United Kingdom, Canada, Japan, Singapore, India, United Arab Emirates, Indonesia, South Korea, Ireland, Turkey, Pakistan, Bangladesh, Hungary, Malaysia, Philippines, Israel, Greece, Romania, Bulgaria</t>
  </si>
  <si>
    <t>High-growth tech company, Providing transformative technologies or business models, Targeting a large user base or potential pool revenue, Secured VC funding in the last three years, Established presence at Hub71</t>
  </si>
  <si>
    <t>Careem, Fetchr, Yallacompare, Property Finder, Anghami, Bayzat, The Luxury Closet, JadoPado, Snoonu, YAP, CureMetrix, Searce</t>
  </si>
  <si>
    <t>WF Asian Smaller Companies Fund</t>
  </si>
  <si>
    <t>C/O WFM Asia (HK) Limited 2701, 27th Floor, Two Exchange Square Hong Kong</t>
  </si>
  <si>
    <t>WF Asian Smaller Companies Fund is a private equity firm that focuses on investments in small and mid-sized companies across the Asia-Pacific region. The firm engages in early-stage, growth, late-stage, and pre-IPO investments, targeting a diverse range of industries including healthcare, finance, insurance, technology, consumer goods, energy, telecommunications, real estate, manufacturing, retail, transportation, media, education, agriculture, utilities, construction, mining, chemicals, pharmaceuticals, and biotechnology. The firm's investment strategy involves providing capital to companies with high growth potential, aiming to support their expansion and development in the dynamic Asian markets.    The firm has a history of participating in significant funding rounds, including a notable post-IPO secondary funding round for a healthcare company. This involvement underscores its commitment to supporting companies at various stages of their growth trajectory. By focusing on small and mid-sized enterprises, WF Asian Smaller Companies Fund seeks to capitalize on the unique opportunities presented by these companies, leveraging its expertise to drive value creation and achieve substantial returns for its investors.    With a strategic emphasis on the Asia-Pacific region, the firm is well-positioned to navigate the complexities and opportunities inherent in these diverse markets. Its comprehensive approach to investment, spanning multiple stages and industries, reflects a deep understanding of the regional economic landscape and a commitment to fostering sustainable growth and innovation within the companies it supports.</t>
  </si>
  <si>
    <t>Technology, Healthcare, Energy, Consumer Goods, Real Estate, Telecommunications, Utilities, Media, Finance, Insurance, Retail, Education, Agriculture, Transportation, Construction, Pharmaceuticals, Manufacturing, Biotechnology, Chemicals, Mining</t>
  </si>
  <si>
    <t>Companies with high growth potential, Small and mid-sized enterprises, Diverse industries across the Asia-Pacific region</t>
  </si>
  <si>
    <t>Healthcare Company A, Technology Company B, Consumer Goods Company C, Finance Company D, Energy Company E</t>
  </si>
  <si>
    <t>Asia Healthcare Holdings</t>
  </si>
  <si>
    <t>3rd Floor, East Wing, Raheja Towers, M.G. Road, Bangalore</t>
  </si>
  <si>
    <t>https://www.ahholdings.com/</t>
  </si>
  <si>
    <t>contactus@ahholdings.com</t>
  </si>
  <si>
    <t>Asia Healthcare Holdings (AHH) is a prominent single-specialty healthcare delivery platform operating in India and South Asia. Backed by TPG Growth and GIC, AHH focuses on investing in and scaling single-specialty healthcare businesses, aiming to transform them into market leaders. The company's portfolio includes Motherhood Hospitals, Nova IVF Fertility, and the Asian Institute of Nephrology and Urology (AINU).    AHH's investment strategy centers on identifying and nurturing single-specialty healthcare enterprises, providing them with the necessary capital and operational expertise to achieve sustainable growth. By focusing on specialties such as oncology, women's and children's health, fertility, urology, and nephrology, AHH addresses critical healthcare needs in the region. The company's approach has led to significant investments, including a $170 million funding from GIC in February 2022 and an additional $150 million in December 2024, totaling approximately $300 million invested across various healthcare sectors.    The company's vision is to build and grow sustainable healthcare enterprises by implementing efficient management principles and expertise. AHH's goal is to transform every healthcare enterprise in Asia into a leader in its respective segment. This vision is evident in their strategic acquisitions, such as the majority stake in AINU, a specialist in urology and nephrology care, marking AHH's expansion into its fourth specialty. AHH's commitment to scaling single-specialty hospitals continues, with a focus on bridging the demand-supply gap in healthcare services across the region.</t>
  </si>
  <si>
    <t>Healthcare, Oncology, Women's Health, Fertility, Urology, Children's Health, Nephrology</t>
  </si>
  <si>
    <t>Single-specialty healthcare businesses seeking growth and operational expertise</t>
  </si>
  <si>
    <t>Motherhood Hospitals, Nova IVF Fertility, Asian Institute of Nephrology and Urology (AINU)</t>
  </si>
  <si>
    <t>Hub71 x Techstars</t>
  </si>
  <si>
    <t>Abu Dhabi Global Market Street - First, Al Khatem Tower, 15th Floor, ADGM Square, Al Maryah Island, Abu Dhabi</t>
  </si>
  <si>
    <t>https://www.linkedin.com/company/hub71ad</t>
  </si>
  <si>
    <t>Hub71 x Techstars is a collaborative accelerator program based in Abu Dhabi, UAE, designed to support and scale innovative startups across various sectors. The program offers a comprehensive suite of resources, including mentorship, funding, and access to a vast network of investors and partners, aiming to foster the growth of early-stage companies into globally competitive businesses.    The accelerator focuses on a wide range of industries, such as technology, fintech, healthtech, cleantech, artificial intelligence, and cloud computing, providing tailored support to startups in these sectors. It operates in multiple stages, from seed funding to pre-IPO, ensuring that companies receive the necessary guidance and resources at each phase of their development.    By leveraging the combined expertise and networks of Hub71 and Techstars, the program has successfully nurtured numerous startups, contributing to the diversification and growth of the UAE's economy. Its strategic location in Abu Dhabi offers startups unique access to the Middle East market, while its global partnerships facilitate international expansion opportunities.</t>
  </si>
  <si>
    <t>Technology, Consumer Goods, Media, HealthTech, EdTech, FinTech, E-commerce, Artificial Intelligence, Entertainment, Agtech, Cloud Computing, Proptech, Mobility, Cleantech, Enterprise Software</t>
  </si>
  <si>
    <t>United States, United Kingdom, Canada, Japan, Australia, China, India, United Arab Emirates, South Korea, Ireland, Turkey, Pakistan, South Africa, Hungary, New Zealand, Israel, Greece, Poland, Romania, Bulgaria</t>
  </si>
  <si>
    <t>High-growth tech company, Providing transformative technologies or business models, Targeting a large user base or potential pool revenue, Added requirement to have secured VC funding in the last three years and set up a meaningful presence at Hub71</t>
  </si>
  <si>
    <t>Uber, ClassPass, PillPack, Twilio, Remitly, DigitalOcean, Trust &amp; Will, SketchFab, SendGrid, GrabCAD</t>
  </si>
  <si>
    <t>Jambo Ventures</t>
  </si>
  <si>
    <t>111 North Bridge Road, #20-05, Peninsula Plaza, Singapore 179098</t>
  </si>
  <si>
    <t>https://www.jambo.technology/</t>
  </si>
  <si>
    <t>info@jambowallet.com</t>
  </si>
  <si>
    <t>Jambo Ventures is a Singapore-based venture capital firm specializing in early-stage investments in blockchain and Web3 projects throughout the Asia-Pacific region. The firm focuses on identifying and supporting innovative startups that leverage decentralized technologies to disrupt traditional industries and create new market opportunities. By providing strategic guidance, operational support, and access to a vast network of industry experts, Jambo Ventures aims to accelerate the growth and success of its portfolio companies.    The firm's investment strategy encompasses a wide range of sectors, including financial services, software, fintech, e-commerce, media, entertainment, gaming, healthcare, education, logistics, supply chain, and agriculture. Jambo Ventures seeks to partner with visionary entrepreneurs who are developing groundbreaking solutions that have the potential to transform their respective industries. The firm is committed to fostering long-term relationships with its portfolio companies, offering not only capital but also the resources and expertise necessary to navigate the complexities of scaling a business in the rapidly evolving blockchain and Web3 landscape.    With a strong emphasis on the Asia-Pacific region, Jambo Ventures leverages its deep understanding of local markets and regulatory environments to provide tailored support to its portfolio companies. The firm's team comprises seasoned professionals with extensive experience in venture capital, technology, and entrepreneurship, enabling them to offer valuable insights and guidance to startups at various stages of development. Through its strategic investments and hands-on approach, Jambo Ventures strives to drive innovation and create lasting value in the blockchain and Web3 ecosystem across the Asia-Pacific region.</t>
  </si>
  <si>
    <t>Financial Services, Technology, Healthcare, Media, Software, Education, Agriculture, FinTech, E-commerce, Logistics, Blockchain, Gaming, Entertainment, Web3, Supply Chain</t>
  </si>
  <si>
    <t>Hong Kong, Japan, Australia, Singapore, China, India, Indonesia, South Korea, Pakistan, Bangladesh, Vietnam, Mongolia, Malaysia, New Zealand, Philippines, Thailand, Taiwan, Sri Lanka, Nepal</t>
  </si>
  <si>
    <t>Innovative blockchain or Web3 technology, Strong founding team, Scalable business model, Clear market differentiation, Potential for significant impact in the Asia-Pacific region</t>
  </si>
  <si>
    <t>Life.SREDA</t>
  </si>
  <si>
    <t>Blk 79, Ayer Rajah Crescent #05-08, Singapore 139955</t>
  </si>
  <si>
    <t>https://www.sreda.vc</t>
  </si>
  <si>
    <t>info@lifesreda.com</t>
  </si>
  <si>
    <t>+65 6493 2135</t>
  </si>
  <si>
    <t>Established in 2012, Life.SREDA is a Singapore-based venture capital firm specializing in investments in fintech startups worldwide. The firm focuses on sectors such as digital payments, insurtech, regtech, blockchain, cryptocurrency, artificial intelligence, big data, cybersecurity, edtech, and more. Life.SREDA has invested in over 20 fintech companies globally through its two funds: Life.SREDA I ($40 million) and Life.SREDA II Asia ($100 million).    The firm's investment strategy encompasses various stages, including seed, early stage, Series A, Series B, growth, and late stage. Geographically, Life.SREDA has a broad focus, investing in countries across Southeast Asia, Russia, Europe, and the United States. Notable portfolio companies include Ayannah, Fastacash, Lenddo, Moven, and more.    Life.SREDA's approach combines capital investment with strategic guidance, aiming to support innovative fintech solutions that disrupt traditional financial services. The firm's leadership includes CEO and Managing Partner Vladislav Solodkiy, who has over 20 years of experience in the technology industry, and Partner and Investment Director Igor Pesin. Under their leadership, Life.SREDA has become one of the most active fintech investors in Southeast Asia, with a diverse and growing portfolio of companies across multiple regions.</t>
  </si>
  <si>
    <t>Financial Services, Technology, Healthcare, EdTech, E-commerce, Cryptocurrency, Artificial Intelligence, Blockchain, InsurTech, Cybersecurity, Big Data, Enterprise Software, Mobile Applications, RegTech, Digital Payments</t>
  </si>
  <si>
    <t>United States, United Kingdom, Germany, Japan, Australia, Singapore, China, India, Brazil, Mexico, Indonesia, South Korea, Pakistan, Bangladesh, Russia, Vietnam, Malaysia, New Zealand, Philippines, Thailand</t>
  </si>
  <si>
    <t>Strong founding teams, Innovative fintech solutions, Scalable business models, Potential for regional or global expansion, Disruptive approaches to traditional financial services</t>
  </si>
  <si>
    <t>Ayannah, Fastacash, Lenddo, Moven, InstaReM, BillEase, Fidor Solutions, Simple, SumUp, Anthemis, Rocketbank, Knopka, Scorista, Settle, Allset, MyWishBoard, My-Apps, Instabank, LifePay</t>
  </si>
  <si>
    <t>Millennium Food-Tech VC</t>
  </si>
  <si>
    <t>Alexander Zarkhin 10, Ra'anana</t>
  </si>
  <si>
    <t>IL</t>
  </si>
  <si>
    <t>https://millennium-ft.com/</t>
  </si>
  <si>
    <t>office@millennium-ft.com</t>
  </si>
  <si>
    <t>+972-54-664-5494</t>
  </si>
  <si>
    <t>Millennium Food-Tech VC is a research and development partnership traded on the Tel Aviv Stock Exchange, specializing in investing in and enhancing companies within the food-tech sector. The firm focuses on identifying and developing innovative and transformative ideas in the food, beverage, and nutrition industries. With an experienced management team and a supportive network, Millennium Food-Tech VC aims to develop ideas and startups from early-stage to maturity and eventual exit.  The firm primarily invests in companies specializing in personalized nutrition, alternative proteins, reduced food waste, smart packaging, artificial intelligence in food, and new food ingredients. Millennium Food-Tech VC has raised NIS 94 million to date and has a portfolio that includes seven companies, such as SavorEat, which has developed technology for producing plant-based meat alternatives. The firm is managed by CEO Chanan Schneider and Chairman Guy Rosen.  Millennium Food-Tech VC seeks to make a positive impact on the global food industry by supporting companies that offer healthier and more sustainable food options. The firm leverages its expertise and network to drive innovation and growth in the food-tech sector, aiming to revolutionize the way food is produced and consumed worldwide.</t>
  </si>
  <si>
    <t>Consumer Goods, Agriculture, Sustainability, Food Technology, Biotechnology, Health and Wellness, Nutrition, Food Processing, Supply Chain Management, Alternative Proteins, Food Packaging, Food Retail, Food Service, Plant-Based Foods, Food Safety</t>
  </si>
  <si>
    <t>United States, Canada, Japan, Australia, Europe, Asia, Singapore, China, India, Mexico, Indonesia, South Korea, Pakistan, Bangladesh, Vietnam, Malaysia, Philippines, Israel, Thailand, Africa, South America</t>
  </si>
  <si>
    <t>Innovative food technology solutions, Sustainable and healthy food products, Scalable business models, Experienced management teams, Strong market potential</t>
  </si>
  <si>
    <t>SavorEat, Phytolon</t>
  </si>
  <si>
    <t>Motwani Jadeja Family Foundation</t>
  </si>
  <si>
    <t>543 Center Drive, Palo Alto, California</t>
  </si>
  <si>
    <t>https://mjf.world</t>
  </si>
  <si>
    <t>https://www.linkedin.com/company/motwani-jadeja-foundation</t>
  </si>
  <si>
    <t>programs@mitli.com</t>
  </si>
  <si>
    <t xml:space="preserve">The Motwani Jadeja Family Foundation is a philanthropic organization dedicated to fostering innovation, entrepreneurship, education, and technology policy, with a focus on strengthening economic, cultural, and diplomatic ties between the United States and India. Founded in 2012 by Asha Jadeja in memory of her husband, Professor Rajeev Motwani, a renowned computer scientist at Stanford University, the foundation operates across both nations to promote cross-border collaboration and address global challenges.  The foundation's initiatives include the Rajeev Circle Fellowship, which connects Indian entrepreneurs with mentors and networks in Silicon Valley, and the Impact Fellowship, supporting social entrepreneurs working on community-driven and scalable solutions. Additionally, it organizes the India Pavilion at the Consumer Electronics Show (CES) in Las Vegas to highlight Indian startups in areas such as electric mobility, augmented reality, and behavioral science. In India, the foundation backs grassroots innovation through MakerFest, an annual event showcasing interdisciplinary projects, and supports FabLab CEPT, a digital fabrication lab at CEPT University in Ahmedabad.  In 2025, the foundation launched the Global Leaders Program, bringing Indian professionals to the World Economic Forum in Davos to engage in discussions on topics like climate change and artificial intelligence. It also established the Motwani Jadeja Institute for American Studies at O.P. Jindal Global University, supported by a $5 million endowment, to advance scholarly research, education, dialogue, and policy engagement on the United States. Through these efforts, the foundation continues to honor Professor Motwani's legacy by promoting innovation and intellectual exchange between Silicon Valley and India.  </t>
  </si>
  <si>
    <t>Technology, Healthcare, Infrastructure, Media, Education, Research, Manufacturing, Art, Innovation, Environment, Social Impact, Entrepreneurship, Culture, Policy, Women's Rights</t>
  </si>
  <si>
    <t>United States, India, Pakistan, Africa</t>
  </si>
  <si>
    <t>Focus on early-stage technology companies, Preference for founders with strong ethical values, Interest in sectors such as education, healthcare, and social impact, Alignment with the foundation's mission to foster US-India collaboration</t>
  </si>
  <si>
    <t>Bytemobile, Kaltix, Jareva, Mimosa Systems</t>
  </si>
  <si>
    <t>Sequoia Surge</t>
  </si>
  <si>
    <t>https://surgeahead.com</t>
  </si>
  <si>
    <t>https://www.linkedin.com/company/surgeahead</t>
  </si>
  <si>
    <t>apply@surgeahead.com</t>
  </si>
  <si>
    <t>Sequoia Surge is a rapid-scale up program initiated by Sequoia Capital India, designed to support early-stage startups across India and Southeast Asia. The program offers seed capital ranging from $1 million to $3 million, combined with company-building workshops, global immersion trips, and access to a network of seasoned mentors and founders. This comprehensive support aims to accelerate the growth of startups and provide founders with a competitive edge during the early stages of company building.    Since its inception in 2019, Surge has launched multiple cohorts, each comprising a diverse group of startups tackling various challenges across sectors such as technology, healthcare, consumer goods, financial services, education, e-commerce, artificial intelligence, climate tech, digital health, metaverse, new consumer brands, new e-commerce models, SaaS, Dev tools, food &amp; beverage, and more. The program has been instrumental in nurturing startups that have collectively raised over $1.5 billion in follow-on funding, with more than 60% of companies from the first five cohorts progressing to raise Series A rounds and beyond.    Surge's investment strategy focuses on identifying and supporting high-potential startups at the seed and early stages, providing them with the necessary resources and guidance to scale rapidly and successfully. The program's emphasis on a global curriculum and mentorship ensures that participating startups are well-equipped to navigate the complexities of building and scaling a business in the dynamic markets of India and Southeast Asia. This approach has led to the emergence of several successful ventures that have made significant impacts in their respective industries and communities.</t>
  </si>
  <si>
    <t>Financial Services, Technology, Healthcare, Consumer Goods, Education, E-commerce, SaaS, Artificial Intelligence, Metaverse, Digital Health, Food &amp; Beverage, Climate Tech, Dev Tools, New Consumer Brands, New E-commerce Models</t>
  </si>
  <si>
    <t>Adar Poonawalla</t>
  </si>
  <si>
    <t>212/2, Hadapsar, Pune</t>
  </si>
  <si>
    <t>http://www.adarpoonawalla.com/</t>
  </si>
  <si>
    <t>ceo@adarpcleancity.com</t>
  </si>
  <si>
    <t>+91-20-26137777, +91-20-26132540</t>
  </si>
  <si>
    <t>Adar Poonawalla is an Indian businessman and philanthropist, best known as the CEO of Serum Institute of India (SII), the world's largest vaccine manufacturer by volume. Under his leadership, SII has expanded its global reach, supplying vaccines to over 170 countries. In 2024, Poonawalla diversified his portfolio by acquiring a 50% stake in Dharma Productions, a prominent Bollywood film studio, for approximately $118 million. This strategic move marked his entry into the entertainment industry, reflecting his interest in diverse business ventures. Additionally, he has invested in real estate, including the purchase of Aberconway House in London for £138 million, and in financial services through Poonawalla Fincorp, a non-banking financial company. These investments underscore his commitment to broadening his business interests beyond the pharmaceutical sector.    Poonawalla's philanthropic efforts are significant, with the Villoo Poonawalla Charitable Foundation focusing on education, healthcare, and environmental sustainability. The foundation has built schools and hospitals and operates large-scale waste management and clean water initiatives in Pune, India. In 2020, he donated £4.2 million to the University of Westminster to expand accessibility in STEM and health and life sciences innovation, reflecting his dedication to supporting education and scientific research.    In 2021, Poonawalla was listed in Time's 100 most influential people, recognizing his pivotal role in global health during the COVID-19 pandemic. Despite challenges, including threats related to vaccine production, he has remained a central figure in the global effort to combat the pandemic, demonstrating resilience and leadership in the face of adversity.</t>
  </si>
  <si>
    <t>Healthcare, Biotechnology, Pharmaceuticals, Financial Services, Entertainment, Real Estate</t>
  </si>
  <si>
    <t>Financial Services, Real Estate, Pharmaceuticals, Entertainment, Biotechnology</t>
  </si>
  <si>
    <t>United States, United Kingdom, China, India, Brazil, Mexico, Indonesia, South Korea, Egypt, Turkey, Pakistan, Bangladesh, Netherlands, South Africa, Vietnam, Ethiopia, Philippines, Thailand, Nigeria, Iran</t>
  </si>
  <si>
    <t>High-impact projects, Scalable ventures, Innovative solutions, Sustainable practices, Global reach</t>
  </si>
  <si>
    <t>Dharma Productions, Poonawalla Fincorp, Aberconway House</t>
  </si>
  <si>
    <t>Anarock Group</t>
  </si>
  <si>
    <t>1002, 10th Floor, B Wing, ONE BKC, Plot No. C-66, G Block Bandra Kurla Complex, Mumbai 400 051</t>
  </si>
  <si>
    <t>https://www.anarock.com</t>
  </si>
  <si>
    <t>info@anarock.com</t>
  </si>
  <si>
    <t>+91 11 4577 1000 / 2462 9994-7</t>
  </si>
  <si>
    <t>Anarock Group is a prominent real estate services firm operating across India and the Middle East. The company offers a comprehensive suite of services, including residential and commercial brokerage, investment banking, research, valuations, and project management. Anarock leverages proprietary technology platforms to enhance marketing and sales processes, aiming to provide innovative solutions to its clients.  The firm's strategic initiatives have led to significant growth and diversification. In the fiscal year 2024, Anarock reported a 36% increase in revenue, surpassing its target with a total of INR 556 crore. This growth is attributed to the expansion into new business verticals such as corporate leasing and advisory services, as well as the deployment of advanced technology solutions. The company has also ventured into project management and engineering services, hiring approximately 550 professionals to support this expansion.  Anarock's partnerships further strengthen its market position. In February 2024, the company secured an investment of approximately INR 200 crore from 360 ONE Asset Management Limited, marking its first equity investment. This funding is intended to bolster Anarock's technological infrastructure and support its growth initiatives. The collaboration with 360 ONE Asset is expected to enhance Anarock's capabilities in the rapidly evolving real estate sector, aligning with the projected growth of the Indian real estate market, which is anticipated to surpass USD 1 trillion by 2030.  Anarock's diversified portfolio includes collaborations with global entities such as HVS in the hospitality sector and Vindico in retail real estate project management. These partnerships enable Anarock to offer specialized services, including feasibility studies, operator searches, appraisals, and tenant representation, catering to a wide range of client needs in the real estate industry.  With a team of over 2,200 experienced professionals, Anarock continues to expand its footprint, aiming to triple its current revenue to INR 1,500 crore by the fiscal year 2027. The company's commitment to innovation and strategic growth positions it as a key player in the real estate services sector, both in India and the Middle East.  Anarock's approach emphasizes ethical dealings and a client-centric philosophy, reflecting its motto of 'Values Over Value.' This commitment to integrity and customer satisfaction has been instrumental in establishing the company's reputation as a trusted advisor and service provider in the real estate industry.</t>
  </si>
  <si>
    <t>Technology, Real Estate, Retail, Investment Banking, Research, Industrial, Logistics, Hospitality, Engineering Services, Flexible Workspaces, Land, Data Centres, Project Management, Valuations, Society Management</t>
  </si>
  <si>
    <t>India, United Arab Emirates, Saudi Arabia, Qatar, Kuwait, Oman, Egypt, Lebanon, Bahrain, Pakistan, Jordan, Bangladesh, Iraq, Afghanistan, Malta, Mauritius, Seychelles, Maldives, Sri Lanka, Nepal</t>
  </si>
  <si>
    <t>Established real estate projects with strong market potential, Opportunities in emerging real estate markets, Innovative real estate technology solutions, High-quality commercial and residential properties, Strategic land acquisitions with development potential, Partnerships with reputable real estate developers, Projects with sustainable and eco-friendly designs, Properties with strong rental yields and capital appreciation potential, Joint ventures in large-scale real estate developments, Opportunities in hospitality and retail real estate sectors, Investments in real estate infrastructure and logistics, Properties in prime urban locations with high demand, Opportunities in the Middle East real estate market, Projects with potential for value addition through redevelopment, Properties with strong tenant profiles and long-term leases, Opportunities in the affordable housing segment, Investments in real estate funds and REITs, Properties with potential for mixed-use development, Opportunities in the senior living and healthcare real estate sectors, Investments in real estate technology startups</t>
  </si>
  <si>
    <t>ApnaComplex, Vindico, HVS-Anarock, Binswanger-Anarock, Marylebone Asset Management, 360 ONE Asset Management Limited</t>
  </si>
  <si>
    <t>Murugappa Group</t>
  </si>
  <si>
    <t>Dare House, 234, NSC Bose Road, Parry’s Corner, Chennai</t>
  </si>
  <si>
    <t>Tamil Nadu</t>
  </si>
  <si>
    <t>https://www.murugappa.com/</t>
  </si>
  <si>
    <t>https://www.linkedin.com/company/murugappa-group/</t>
  </si>
  <si>
    <t>gcc@corp.murugappa.com</t>
  </si>
  <si>
    <t>044-2530 6789</t>
  </si>
  <si>
    <t>Murugappa Group is a prominent Indian conglomerate with a diverse portfolio spanning agriculture, engineering, financial services, and more. Founded in 1900, the group has established a strong presence in sectors such as abrasives, auto components, bicycles, fertilizers, sugar, and tea. With a workforce of over 94,000 employees, the group operates across India and internationally, serving a vast customer base.  The group's investment strategy is multifaceted, encompassing private equity, venture capital, debt investments, mutual funds, hedge funds, institutional investments, pension funds, sovereign wealth funds, fund of funds, endowments, charitable foundations, syndicates, and angel investments. This diverse approach allows the group to engage in various stages of investment, including pre-seed, seed, early stage, series A, series B, growth, late stage, pre-IPO, buyout, turnaround, and distressed investments. Geographically, Murugappa Group focuses on markets in India, the United States, the United Kingdom, Germany, China, Japan, Australia, Singapore, Malaysia, Thailand, Indonesia, Vietnam, Sri Lanka, Bangladesh, Nepal, Pakistan, the Middle East, Africa, Latin America, and Canada.  The group's portfolio includes a wide range of industries, such as agriculture, engineering, financial services, chemicals, auto components, bicycles, fertilizers, sugar, tea, bioproducts, nutraceuticals, infrastructure, real estate, technology, and healthcare. Notable companies within the group include Carborundum Universal Limited, Cholamandalam Financial Holdings Limited, Cholamandalam Investment and Finance Company Limited, Coromandel International Limited, E.I.D. Parry (India) Limited, Shanthi Gears Limited, Tube Investments of India Limited, and Wendt (India) Limited. Brands like BSA, Hercules, Montra, Montra Electric, Mach City, Chola, Chola MS, CG Power, Shanthi Gears, CUMI, Gromor, Paramfos, and Parry’s are part of the group's illustrious stable. Guided by the five lights—integrity, passion, quality, respect, and responsibility—the group fosters a culture of professionalism and value creation.  For more information, visit the official website at https://www.murugappa.com/.</t>
  </si>
  <si>
    <t>Private Equity, Venture Capital, Debt Investor, Mutual Fund, Hedge Fund, Institutional Investor, Pension Fund, Sovereign Wealth Fund, Fund of Funds, Endowment, Charitable Foundation, Syndicate, Angel Investor</t>
  </si>
  <si>
    <t>Financial Services, Technology, Healthcare, Real Estate, Infrastructure, Agriculture, Chemicals, Engineering, Sugar, Fertilizers, Tea, Nutraceuticals, Auto Components, Bicycles, Bioproducts</t>
  </si>
  <si>
    <t>United States, United Kingdom, Canada, Germany, Japan, Australia, Singapore, China, India, Latin America, Indonesia, Middle East, Pakistan, Bangladesh, Vietnam, Malaysia, Thailand, Africa, Sri Lanka, Nepal</t>
  </si>
  <si>
    <t>Strong market position, Innovative business models, Scalable operations, Experienced management team, Sustainable growth potential, Alignment with group values and ethics</t>
  </si>
  <si>
    <t>Carborundum Universal Limited, Cholamandalam Financial Holdings Limited, Cholamandalam Investment and Finance Company Limited, Coromandel International Limited, E.I.D. Parry (India) Limited, Shanthi Gears Limited, Tube Investments of India Limited, Wendt (India) Limited, Cholamandalam MS General Insurance Company Limited, Parry Agro Industries Limited</t>
  </si>
  <si>
    <t>Hindustan Unilever Limited</t>
  </si>
  <si>
    <t>Unilever House, B D Sawant Marg, Chakala, Andheri East, Mumbai 400 099</t>
  </si>
  <si>
    <t>https://www.hul.co.in/</t>
  </si>
  <si>
    <t>levercare.shareholder@unilever.com</t>
  </si>
  <si>
    <t>+91 22 5043 2791 / 22 5043 2792</t>
  </si>
  <si>
    <t>Hindustan Unilever Limited (HUL) is a prominent Indian consumer goods company headquartered in Mumbai, Maharashtra. As a subsidiary of the Anglo-Dutch company Unilever, HUL offers a diverse portfolio of products, including foods, beverages, cleaning agents, personal care items, and other consumer staples. The company has been operational in India since 1931, evolving through various mergers and name changes to its current form in 2007.    HUL's investment strategy focuses on sectors such as consumer goods, food and beverages, personal care, and home care. The company engages in investments across various stages, including growth, late stage, pre-IPO, buyout, turnaround, and distressed situations. Geographically, HUL's investments span multiple countries, with a significant presence in India and other regions. The company's diverse portfolio encompasses industries like health and wellness, beauty and cosmetics, household products, and more.    HUL's track record reflects its commitment to innovation and market leadership. The company has been recognized for its efforts in sustainable operations, achieving a 98% reduction in CO₂ emissions in manufacturing compared to the 2008 baseline. Additionally, HUL has been acknowledged for its contributions to the community, reaching approximately 10 million people through its Prabhat initiative, a sustainable community development program. These achievements underscore HUL's dedication to responsible business practices and its role as a significant player in the consumer goods sector.</t>
  </si>
  <si>
    <t>Equity, Fixed Income (Debt and Bonds)</t>
  </si>
  <si>
    <t>Consumer Goods, Health and Wellness, Food and Beverages, Nutrition, Coffee, Frozen Foods, Personal Care, Tea, Sauces, Home Care, Laundry, Hair Care, Cleaning Products, Skin Care, Household Products, Beauty and Cosmetics, Oral Care, Ice Cream, Soups, Dressings, Water Purifiers</t>
  </si>
  <si>
    <t>United States, United Kingdom, Japan, China, India, Brazil, Mexico, Indonesia, Egypt, Turkey, Pakistan, Bangladesh, Netherlands, South Africa, Russia, Vietnam, Malaysia, Philippines, Thailand, Nigeria</t>
  </si>
  <si>
    <t>Alignment with HUL's strategic objectives, Potential for market leadership, Sustainable and responsible business practices, Innovative product offerings, Scalability and growth potential, Strong management team, Financial viability, Compliance with regulatory standards, Cultural fit with HUL's values, Positive impact on consumer well-being</t>
  </si>
  <si>
    <t>Brooke Bond, Lipton, Kissan, Knorr, Hellmann's, Kwality Wall's, Dove, Lux, Lifebuoy, Surf Excel, Axe, Pepsodent, Close Up, Tata Sampann, Pureit, Pond's, Vaseline, TRESemmé, Sunsilk, Rin</t>
  </si>
  <si>
    <t>Shailendra Singh</t>
  </si>
  <si>
    <t>https://www.peakxv.com</t>
  </si>
  <si>
    <t>https://www.linkedin.com/company/peakxvpartners</t>
  </si>
  <si>
    <t>shailendra@peakxv.com</t>
  </si>
  <si>
    <t>Shailendra Singh is a Managing Director at Peak XV Partners, a prominent venture capital firm operating in India and Southeast Asia. He joined the firm in 2006 and has been instrumental in its growth, leading investments in over a dozen companies across the region. His focus areas include consumer internet, mobile, and enterprise software, spanning seed stage to early growth capital. Notable investments under his leadership include Pine Labs, CRED, Druva, Carousell, Gojek, Tokopedia, and Unacademy.    In 2023, Sequoia Capital rebranded its India and Southeast Asia operations as Peak XV Partners, with Shailendra continuing to lead the firm. The portfolio has seen 23 IPOs and multiple successful mergers and acquisitions, resulting in $4.8 billion in realized exits. Shailendra has been recognized in the Forbes Midas List from 2018 to 2020 and serves on the Board of the US-India Strategic Partnership Forum (USISPF).    Prior to his venture capital career, Shailendra worked at Bain &amp; Company in New York and was an entrepreneur in Silicon Valley during the dotcom era. He holds an MBA with distinction from Harvard Business School and a B.Tech in Chemical Engineering from the Indian Institute of Technology, Mumbai. He is also a Kauffman Fellow, reflecting his commitment to fostering entrepreneurship and innovation.</t>
  </si>
  <si>
    <t>Financial Services, Technology, Media, HealthTech, EdTech, FinTech, E-commerce, Logistics, Artificial Intelligence, Blockchain, Gaming, Cybersecurity, Cloud Computing, Consumer Internet, Enterprise Software</t>
  </si>
  <si>
    <t>Strong growth potential, Innovative business models, Scalable operations, Experienced founding teams, Clear market differentiation, Sustainable competitive advantage, Ability to achieve significant market share, Potential for high returns on investment, Alignment with Peak XV's investment thesis, Commitment to ethical business practices, Focus on long-term value creation, Adaptability to market changes, Strong customer acquisition strategies, Clear exit strategies, Ability to attract and retain top talent, Demonstrated product-market fit, Scalable technology infrastructure, Ability to expand regionally and globally, Commitment to social responsibility</t>
  </si>
  <si>
    <t>Pine Labs, Cred, Druva, Carousell, Gojek, Tokopedia, Unacademy, Freecharge, GlobalLogic, Infoedge, eClerx, Zomato, Byju's, OYO, Mobile Premier League</t>
  </si>
  <si>
    <t>Nisaba Godrej</t>
  </si>
  <si>
    <t>Apollo Bunder, Mumbai</t>
  </si>
  <si>
    <t>https://godrejcp.com/know-us/board-of-directors</t>
  </si>
  <si>
    <t>investor.relations@godrejcp.com</t>
  </si>
  <si>
    <t>+91 - 022 - 25188010</t>
  </si>
  <si>
    <t>Nisaba Godrej is an influential Indian businesswoman and the Chairperson &amp; Managing Director of Godrej Consumer Products Limited (GCPL). She has been a key architect of GCPL's strategy and transformation for almost two decades. In 2007, she initiated and led Project Leapfrog, which created a playbook for GCPL to accelerate domestic organic growth through innovation and consolidation, and to become a more global company by investing in emerging markets outside of India. Over the last ten years, GCPL's market capitalization has increased twenty-fold, and the company has developed a very strong, engaged, and ambitious team, consistently ranked as a great place to work. She has also institutionalized design-driven thinking and directly leads product development.  Nisaba is passionate about identifying and developing the talent required for the Godrej Group's future growth. Through her oversight of the Group HR function for Godrej Industries and associate companies, she has made Godrej a more meritocratic and highly performance-driven organization, while keeping the Group's values front and center. She has also spearheaded the Group's Good &amp; Green agenda and the Godrej DEI Lab to drive more inclusive and sustainable growth. Her previous assignments within the Godrej Group have included the successful turnaround of Godrej Agrovet and the creation of a Group strategy function to oversee the Group's portfolio.  In addition to GCPL, Nisaba is also on the Board of Godrej Industries, Godrej Agrovet, Bharti Airtel, and Mahindra &amp; Mahindra. She is the Chairperson of Teach for India. Nisaba has a B.Sc degree from The Wharton School at the University of Pennsylvania and an MBA from Harvard Business School. She is passionate about education, the human mind, trekking, and equestrian sports. She lives in Mumbai with her children Zoran and Aidan.</t>
  </si>
  <si>
    <t>Consumer Goods, FMCG, Retail, Education, Technology, Real Estate, Agriculture, Telecommunications, Automotive, Sports, Media, Entertainment, Hospitality, Healthcare, Financial Services, Infrastructure, Energy, Logistics, Pharmaceuticals, Chemicals</t>
  </si>
  <si>
    <t>Financial Services, Technology, Healthcare, Energy, Consumer Goods, Real Estate, Infrastructure, Telecommunications, Media, Automotive, Retail, Education, Agriculture, Logistics, Hospitality, Pharmaceuticals, Entertainment, Chemicals, Sports, FMCG</t>
  </si>
  <si>
    <t>India, Mexico, Indonesia, Kenya, Pakistan, Bangladesh, South Africa, Vietnam, Malaysia, Afghanistan, Philippines, Thailand, Nigeria, Chile, Argentina, Colombia, Peru, Sri Lanka, Nepal, Myanmar, Ecuador</t>
  </si>
  <si>
    <t>Godrej Agrovet, Godrej Industries, Bharti Airtel, Mahindra &amp; Mahindra, Teach for India</t>
  </si>
  <si>
    <t>Advans SA SICAR</t>
  </si>
  <si>
    <t>Centre Etoile, 11/13 Boulevard de la Foire, L-1528 Luxembourg</t>
  </si>
  <si>
    <t>https://advansinternational.com/</t>
  </si>
  <si>
    <t>contact@advansgroup.com</t>
  </si>
  <si>
    <t>+33 1 53 32 75 75</t>
  </si>
  <si>
    <t xml:space="preserve">Advans SA SICAR is a Luxembourg-based venture capital investment company established in 2005, dedicated to promoting financial inclusion by supporting microfinance institutions in emerging economies. The company aims to meet the financial needs of micro, small, and medium-sized enterprises (MSMEs) and individuals with limited access to formal banking services. Advans SA SICAR operates in several countries, including the Democratic Republic of the Congo, Cameroon, Ghana, Cambodia, Pakistan, Côte d'Ivoire, Tanzania, Myanmar, Nigeria, and Tunisia, offering a range of financial products such as loans, savings accounts, and insurance services.  The company's investment strategy involves establishing and developing microfinance institutions (MFIs) that provide essential financial services to underserved populations. Advans SA SICAR acts as a lead shareholder, offering financial resources like loans and guarantees to its affiliates, and actively participates in their governance to ensure alignment with its mission. The sectors targeted by Advans SA SICAR include financial services, microfinance, banking, insurance, technology, agriculture, retail, healthcare, education, energy, infrastructure, transportation, real estate, telecommunications, and media. The company focuses on various stages of investment, including seed, early stage, and growth, to support the development and expansion of its portfolio companies.  Advans SA SICAR's commitment to financial inclusion is demonstrated through its partnerships with development finance institutions and its active role in the governance of its MFIs. The company has received support from organizations such as the Grameen Crédit Agricole Foundation, which granted a loan of USD 4.5 million to strengthen the impact of the Advans Group. This partnership underscores Advans SA SICAR's dedication to fostering sustainable and responsible financial services that empower individuals and communities in developing countries. By providing tailored financial solutions, Advans SA SICAR contributes to the economic development and social well-being of the populations it serves.  </t>
  </si>
  <si>
    <t>Financial Services, Technology, Healthcare, Energy, Real Estate, Infrastructure, Telecommunications, Media, Banking, Insurance, Retail, Education, Agriculture, Transportation, Microfinance</t>
  </si>
  <si>
    <t>Ghana, Tunisia, Pakistan, Nigeria, Tanzania, Myanmar, Cambodia, Cameroon, Côte d'Ivoire, Democratic Republic of the Congo</t>
  </si>
  <si>
    <t>Focus on financial inclusion, Support for micro, small, and medium-sized enterprises, Commitment to sustainable and responsible financial services, Active participation in governance of portfolio companies, Collaboration with development finance institutions</t>
  </si>
  <si>
    <t>Advans Banque Congo, Advans Cameroun, Advans Ghana, Advans Côte d'Ivoire, Advans Bank Tanzania, Advans Myanmar, Advans Nigeria, Advans Tunisia</t>
  </si>
  <si>
    <t>Damien Zhang</t>
  </si>
  <si>
    <t>25/F, Fortune Financial Center, 5 Dong San Huan Central Road, Chaoyang District, Beijing</t>
  </si>
  <si>
    <t>https://www.cdhfund.com/en</t>
  </si>
  <si>
    <t>+86 10 8507 6999</t>
  </si>
  <si>
    <t>Established in 2002, CDH Investments is a prominent Chinese alternative asset management firm specializing in private equity, venture capital, and credit products. The firm manages over $20 billion in assets and has invested in more than 350 companies, supporting their growth and transformation across various sectors. CDH's investor base includes sovereign wealth funds, pension funds, insurers, endowments, family offices, and fund-of-funds from around the world.    CDH's investment strategy is value-driven and partner-focused, aiming to create sustainable value for all stakeholders. The firm invests across multiple asset classes, including private equity, venture capital, real assets, private credit, public equities, mezzanine, wealth management, and fund-of-funds. Its portfolio spans various stages of company development, from early-stage ventures to mature companies, and covers a wide geographical area, with a particular emphasis on China.    Over the years, CDH has demonstrated a strong track record in managing complex transactions and navigating multiple economic cycles. The firm has been involved in numerous landmark cross-border mergers and acquisitions, showcasing its expertise in handling large-scale deals. CDH's portfolio companies employ over 3.1 million people and have become a vital source of China's economic dynamism, reflecting the firm's commitment to supporting the real economy and driving industrial transformation.</t>
  </si>
  <si>
    <t>Private Equity, Venture Capital, Real Assets, Private Credit, Public Equities, Mezzanine, Wealth Management, Fund of Funds</t>
  </si>
  <si>
    <t>Value-driven investment approach, Partner-focused collaboration, Sustainable value creation, Support for industrial transformation, Commitment to long-term partnerships</t>
  </si>
  <si>
    <t>Hang Seng Electronics, Mengniu Dairy, Li-Ning, Focus Media, Yurun Food, Yongle, China Merchants Bank, Belle International, LDK, AirMedia, CNInsure, Joyoung, Shanshui Cement, Modern Dairy, Hanting Hotel, Kanghui Medical, TSL Jewelry, M&amp;G Stationery, Xueda Education, Qihoo 360</t>
  </si>
  <si>
    <t>Douglas Abrams</t>
  </si>
  <si>
    <t>https://www.expara.com</t>
  </si>
  <si>
    <t>https://www.linkedin.com/company/expara</t>
  </si>
  <si>
    <t>info@exparacapital.com</t>
  </si>
  <si>
    <t>+65-9780-5381</t>
  </si>
  <si>
    <t>Douglas Abrams is the founder and CEO of Expara, Southeast Asia's leading venture accelerator and fund. He has launched and invested in five venture capital funds in the region since 2007. Prior to moving to Singapore in 2000, Mr. Abrams managed information technology at JPMorgan for 14 years. He holds a BA in Communications from the University of Pennsylvania and an MBA from The Wharton School.    In addition to his entrepreneurial endeavors, Mr. Abrams serves as an Adjunct Associate Professor at the National University of Singapore's Business School, where he has taught New Venture Creation and Venture Capital since 2001. He is also a Visiting Professor in Venture Capital at the Sasin Graduate Institute of Business Administration at Chulalongkorn University in Bangkok and has been involved with universities in Hong Kong and Vietnam.    Mr. Abrams has held leadership roles in various organizations, including serving as Chairman of the Business Angel Network of Southeast Asia (BANSEA) and sitting on the Board of the Media Development Authority of Singapore. His extensive experience and contributions have significantly influenced the development of the startup ecosystem in Southeast Asia.</t>
  </si>
  <si>
    <t>Hong Kong, Singapore, Indonesia, Pakistan, Bangladesh, Vietnam, Mongolia, Malaysia, Afghanistan, Philippines, Thailand, Maldives, Sri Lanka, Nepal, Bhutan, Myanmar, Cambodia, Laos, Brunei, Timor-Leste</t>
  </si>
  <si>
    <t>Innovative business models, Scalable growth potential, Strong management teams, Clear exit strategies, Competitive market positioning, Sustainable competitive advantages, Demonstrated product-market fit, Ability to attract and retain customers, Financial transparency, Commitment to ethical business practices</t>
  </si>
  <si>
    <t>Minecraftly</t>
  </si>
  <si>
    <t>Vinit Sukhija</t>
  </si>
  <si>
    <t>400 Concar Dr, San Mateo</t>
  </si>
  <si>
    <t>https://www.learn.vc</t>
  </si>
  <si>
    <t>vinit@learn.vc</t>
  </si>
  <si>
    <t>Learn Capital is a venture capital firm based in San Mateo, California, focusing on investing in education technology companies. The firm has a diverse portfolio that includes companies such as Sixup, Photomath, CourseHorse, Brainly, Edmodo, Learning Machine Technologies, Smashcut, Section4, Teachable, EdTech Foundry, HireArt, Bloc, WriteLab, Vocate, Wonderschool, Andela, NoRedInk, Vemo Education, Kalibrr, Learners Guild, Peergrade, Kenzie Academy, Schoold, SoloLearn, Foundry College, Paragon One, AltSchool, Yoi Corp, Minerva Project, Experiment, Verbling, Edunav, Fluent City, VersaMe, Outschool, EdSurge, NovoEd, popexpert, Coursera, NextStep, Varsity Tutors, Educents, Mentor Collective, eduClipper, CodeHS, Qualified, Savvy.is, On Deck, Springboard, Scoutible, MissionU, Wonder Workshop, Monti Kids, BrightBytes, Storybird, Rockit Online, Higher Ground Education, Podium Education, Chromatik, ProSky, BloomBoard, Pathrise, Nana, Udemy, Mystery.org, BUILD ACADEMY, Maker's Row, MasteryConnect, Climb Credit, VIPKID, MakeSchool. The firm's investment strategy focuses on supporting innovative companies that are transforming the education sector through technology. Learn Capital's portfolio spans various stages, from seed to growth, and includes a wide range of educational services and products. The firm's commitment to improving educational outcomes is evident in its diverse investments across the education technology landscape.    Learn Capital's approach to investing is characterized by a deep understanding of the education sector and a focus on scalable solutions that can have a significant impact. The firm's team brings a wealth of experience from various backgrounds, including education, technology, and entrepreneurship, enabling them to identify and support companies with the potential to drive meaningful change in education. Learn Capital's investments are guided by a belief in the transformative power of education and a commitment to fostering innovation that enhances learning experiences worldwide.    Through its strategic investments, Learn Capital aims to empower entrepreneurs and organizations that are pioneering new ways to deliver education. The firm's portfolio reflects a dedication to supporting companies that are not only financially promising but also aligned with the mission of improving education through innovative solutions. Learn Capital continues to seek out and invest in companies that are poised to make a lasting impact on the education sector, contributing to the evolution of learning in the digital age.</t>
  </si>
  <si>
    <t>EdTech, Education Technology, Higher Education, Educational Software, Vocational Training, E-Learning, Online Education, Corporate Training, STEM Education, Digital Learning, Language Learning, K-12 Education, Test Preparation, Tutoring Services, Learning Platforms</t>
  </si>
  <si>
    <t>United States, United Kingdom, Germany, Japan, China, India, Brazil, France, Mexico, Indonesia, Egypt, Turkey, Pakistan, Bangladesh, Russia, Vietnam, Ethiopia, Philippines, Nigeria, Iran</t>
  </si>
  <si>
    <t>Innovative education technology solutions, Scalable business models, Strong management teams, Potential for significant impact on education outcomes, Alignment with Learn Capital's mission and values</t>
  </si>
  <si>
    <t>Sixup, Photomath, Coursehorse, Brainly, Edmodo, Learning Machine Technologies, Smashcut, Section4, Teachable, EdTech Foundry, HireArt, Bloc, WriteLab, Vocate, Wonderschool, Andela, NoRedInk, Vemo Education, Kalibrr, Learners Guild, Peergrade, Kenzie Academy, Schoold, SoloLearn, Foundry College, Paragon One, AltSchool, Yoi Corp, Minerva Project, Experiment, Verbling, Edunav, Fluent City, VersaMe, Outschool, EdSurge, NovoEd, popexpert, Coursera, NextStep, Varsity Tutors, Educents, Mentor Collective, eduClipper, CodeHS, Qualified, Savvy.is, On Deck, Springboard, Scoutible, MissionU, Wonder Workshop, Monti Kids, BrightBytes, Storybird, Rockit Online, Higher Ground Education, Podium Education, Chromatik, ProSky, BloomBoard, Pathrise, Nana, Udemy, Mystery.org, BUILD ACADEMY, Maker's Row, MasteryConnect, Climb Credit, VIPKID, MakeSchool</t>
  </si>
  <si>
    <t>Yuto Kono</t>
  </si>
  <si>
    <t>Shibuya-ku, Tokyo, Japan</t>
  </si>
  <si>
    <t>https://www.genesiaventures.com/en/</t>
  </si>
  <si>
    <t>kono@genesiaventures.com</t>
  </si>
  <si>
    <t>Yuto Kono is a venture capital investor based in Tokyo, Japan, with a diverse portfolio across multiple industries and regions. He is currently a Principal at Genesia Ventures, a venture capital firm focused on seed and early-stage startups in Japan and Southeast Asia. Prior to joining Genesia Ventures in 2017, Yuto interned at CyberAgent Capital in Bangalore, India, YourStory, an Indian technology media company, and Quipper, an Edtech startup in Japan. He holds a Bachelor's degree from Waseda University, School of Social Sciences.    At Genesia Ventures, Yuto has been responsible for investments in Japan, Southeast Asia, and Africa, focusing on sectors such as Web3, Fintech, Edtech, HRtech, and Entertainment. His investment strategy emphasizes identifying and supporting innovative startups with high growth potential in these regions.    Yuto's track record includes investments in companies like Meetscare, Docquity, Synamon, GeoLogic Japan, Al Travel, Babel, Homedy.com, Finantier, Baseconnect Japan, Zenport Inc., Qoala, PLANTIO, Shelfy, Boulder, MOSH Japan, SYRUP Japan, INNOVIA Japan, Sukedachi, MobilKamu, FOWD, Bobobox Indonesia, KAMEREO, Vietcetera Media, Enerbank Japan, StayList, Good Moneyger, BrightTable, HRBrain, Luxstay, ROUTE06, Spectra Japan, MoneyDuck, ACALL, Sozi, PSYGIG, REASE Inc., Activaid, Crezit, Mosquitone, REGALI, JobRainbow, Life Quest, Appdate, HIDEOUT CLUB, KANKAK, Syukatsu Labo, Linc Corporation, Nupp1, Subdream Studios, Aerial Partners Japan, Buymed, New Revo, BizteX, Non Brokers, Photoruction, eDoctor, Manabie, Logisly, maricuru, Yourniture, Taimee, Autify, Aki Katsu, and AtHearth.    Yuto's investment philosophy centers on fostering innovation and supporting entrepreneurs who are addressing significant challenges in their respective industries. His global perspective, combined with his deep understanding of the Japanese market, enables him to identify and nurture high-potential startups across diverse sectors and regions.</t>
  </si>
  <si>
    <t>Technology, Healthcare, Energy, Consumer Goods, Real Estate, Telecommunications, Media, Finance, Automotive, Education, Agriculture, E-commerce, Logistics, Transportation, Aerospace, Manufacturing, Entertainment, Food &amp; Beverage, Travel, Defense</t>
  </si>
  <si>
    <t>United States, Japan, Singapore, India, Indonesia, Kenya, Pakistan, Bangladesh, Vietnam, Malaysia, Afghanistan, Philippines, Thailand, Maldives, Sri Lanka, Nepal, Bhutan, Myanmar, Cambodia, Laos</t>
  </si>
  <si>
    <t>Meetscare, Docquity, Synamon, GeoLogic Japan, Al Travel, Babel, Homedy.com, Finantier, Baseconnect Japan, Zenport Inc., Qoala, PLANTIO, Shelfy, Boulder, MOSH Japan, SYRUP Japan, INNOVIA Japan, Sukedachi, MobilKamu, FOWD, Bobobox Indonesia, Kamereo, Vietcetera Media, Enerbank Japan, StayList, Good Moneyger, BrightTable, HRBrain, Luxstay, ROUTE06, Spectra Japan, MoneyDuck, ACALL, Sozi, PSYGIG, REASE Inc., Activaid, Crezit, Mosquitone, REGALI, JobRainbow, Life Quest, Appdate, HIDEOUT CLUB, KANKAK, Syukatsu Labo, Linc Corporation, Nupp1, Subdream Studios, Aerial Partners Japan, BuyMed, New Revo, BizteX, Non Brokers, Photoruction, eDoctor, Manabie, Logisly, maricuru, Yourniture, Taimee, Autify, Aki Katsu, AtHearth</t>
  </si>
  <si>
    <t>Sonic Capital</t>
  </si>
  <si>
    <t>https://sonic.capital/</t>
  </si>
  <si>
    <t>info@sonic.capital</t>
  </si>
  <si>
    <t>Sonic Capital is a venture capital firm that invests in blockchain and cryptocurrency projects, emphasizing environmental and social impact. The firm focuses on startups that leverage blockchain technology to address challenges related to environmental conservation and social equality. Sonic Capital aims to support companies that contribute to the regeneration and preservation of the environment, as well as promote social equality through innovative solutions.  The firm's investment strategy targets businesses at the Late Seed and Series A stages, particularly those involved in the carbon credit markets. By investing in companies that support the adoption and scaling of carbon credit markets, Sonic Capital seeks to drive positive change and deliver attractive returns to stakeholders. The firm operates with a global remit, supporting companies across various regions, including Hong Kong, the United States, China, Singapore, Japan, South Korea, India, Australia, Indonesia, Malaysia, Thailand, the Philippines, Vietnam, Bangladesh, Pakistan, Nepal, Sri Lanka, Myanmar, Laos, and Cambodia.  Sonic Capital's portfolio includes companies in diverse industries such as technology, environmental services, social impact, blockchain, cryptocurrency, carbon credit markets, renewable energy, sustainable development, financial services, impact investing, regenerative medicine, agriculture, education, healthcare, and infrastructure. The firm typically invests between $1 million and $5 million in each portfolio company, aiming to provide critical growth capital and hands-on support to entrepreneurs and business leaders in these sectors.</t>
  </si>
  <si>
    <t>Late Seed, Series A</t>
  </si>
  <si>
    <t>Financial Services, Technology, Healthcare, Infrastructure, Education, Renewable Energy, Agriculture, Cryptocurrency, Blockchain, Regenerative Medicine, Environmental Services, Impact Investing, Sustainable Development, Social Impact, Carbon Credit Markets</t>
  </si>
  <si>
    <t>Companies leveraging blockchain technology, Focus on environmental conservation, Emphasis on social equality, Involvement in carbon credit markets, Late Seed and Series A stages, Global operations</t>
  </si>
  <si>
    <t>VeriSilicon Holdings</t>
  </si>
  <si>
    <t>anyang@glp.com</t>
  </si>
  <si>
    <t>021-61053985</t>
  </si>
  <si>
    <t>Hidden Hill Capital is a private equity firm established in 2018 and backed by GLP Capital Partners. The firm focuses on minority, significant minority, and strategic equity investments in companies operating in modern logistics, digital supply chains, renewable energy, and related technologies, with an emphasis on cross-border opportunities across Asia. As of 2024, Hidden Hill Capital manages over US$4 billion in assets across both RMB and USD private equity strategies, including its flagship Hidden Hill Modern Logistics Private Equity Fund, which has been ranked as the world's second-largest PropTech fund by Private Equity Real Estate (PERE) in 2021 and 2022.    The firm's investment strategy centers on identifying and supporting businesses that drive innovation and efficiency within the logistics and supply chain sectors. Hidden Hill Capital leverages GLP's extensive global network and ecosystem to provide strategic support to its portfolio companies, facilitating cross-border expansion and operational synergies. The firm has a disciplined investment process, emphasizing active post-investment management to enhance stakeholder value.    Hidden Hill Capital's portfolio includes a diverse range of companies across various industries, such as logistics services, digital supply chain solutions, renewable energy technologies, and e-commerce platforms. Notable investments include China Southern Air Logistics, JD Logistics, J&amp;T Express, G7, Inceptio, ForU, Libiao Robotics, Jet Commerce, and Telexistence. The firm has also invested in companies supporting the adoption of renewable energy within the logistics ecosystem, including Farizon, YKC, WeLion, and Ruicycle. These investments reflect Hidden Hill Capital's commitment to fostering sustainable and innovative solutions within the logistics and supply chain industries across Asia.</t>
  </si>
  <si>
    <t>Technology, Infrastructure, Automotive, Software, Renewable Energy, E-commerce, Logistics, Artificial Intelligence, Robotics, Supply Chain, Internet of Things, Electric Vehicles, Hardware, Battery Storage, Recycling</t>
  </si>
  <si>
    <t>Hong Kong, Japan, Australia, Singapore, China, India, Indonesia, South Korea, Pakistan, Bangladesh, Vietnam, Mongolia, Malaysia, New Zealand, Philippines, Thailand, Taiwan, Sri Lanka, Nepal, Macau</t>
  </si>
  <si>
    <t>Companies operating in modern logistics, digital supply chains, renewable energy, and related technologies across Asia.</t>
  </si>
  <si>
    <t>China Southern Air Logistics, JD Logistics, J&amp;T Express, G7, Inceptio, ForU, Libiao Robotics, Jet Commerce, Telexistence, Farizon, YKC, WeLion, Ruicycle</t>
  </si>
  <si>
    <t>9 West 57th St, New York, NY 10019</t>
  </si>
  <si>
    <t>212-984-8800</t>
  </si>
  <si>
    <t>Tiger Global Management is an investment firm founded in 2001, focusing on long-term investments in leading global public and private companies that leverage technological innovation. Their public equity business includes fundamentally oriented long/short, long-focused, and crossover strategies, targeting investments in high-quality, public growth companies. The private equity business invests in early through late-stage companies pursuing innovative approaches to new and existing industries, building on over 20 years of experience investing in hundreds of businesses across more than 30 countries, with more than 90 portfolio company IPOs.    With a strong track record investing across sectors and stages, Tiger Global aims to be a thought partner to companies and their management teams throughout their lifecycle in public and private markets. Their mission is to generate world-class returns for investors and to do so in a way that makes employees, partners, and portfolio companies proud.    Tiger Global's investment approach is characterized by a commitment to technological innovation and a global perspective, enabling them to identify and support companies that are poised for significant growth and impact in their respective industries.</t>
  </si>
  <si>
    <t>Focus on technological innovation, Global market presence, High growth potential</t>
  </si>
  <si>
    <t>Wasim Malik</t>
  </si>
  <si>
    <t>Boston, Massachusetts</t>
  </si>
  <si>
    <t>https://iasoventures.com/</t>
  </si>
  <si>
    <t>https://www.linkedin.com/company/iasoventures</t>
  </si>
  <si>
    <t>wm@iasoventures.com</t>
  </si>
  <si>
    <t>Wasim Malik is a seasoned venture capital investor and advisor specializing in deep tech and biotech sectors. As the Managing Partner at Iaso Ventures, he oversees the firm's strategy, investments, and partnerships, focusing on early-stage investments and new venture creation at the intersection of technology and life sciences. Prior to this, he served as the Chief Digital Strategist at Roivant Sciences, where he led digital health investments, strategy, and partnerships to accelerate drug development and commercialization across multiple therapeutic areas. Additionally, Malik has held key roles at prestigious institutions like Harvard Medical School and Massachusetts General Hospital, where he built a research program on tech-enabled clinical research in neurology. He has also served on the board of directors at companies such as Saphetor and Altimate Health, and on the business advisory board of the Epilepsy Foundation. Malik holds a Ph.D. in electrical engineering from the University of Oxford, postdoctoral training in neuroscience from MIT, and executive education in venture capital and private equity from Harvard Business School. His diverse background and extensive experience make him a prominent figure in the venture capital landscape, particularly in the deep tech and biotech sectors.     Malik's investment focus includes deep tech, biotech, artificial intelligence, healthcare, digital health, therapeutics, and pharmaceuticals. He has a track record of investing in early-stage companies, with investment sizes typically ranging from $1 million to $5 million. His geographical focus spans the United States, United Kingdom, and Pakistan, reflecting his global perspective and commitment to fostering innovation across different regions. His strategic approach combines scientific expertise with industry connections, enabling him to identify and support promising startups in the healthcare and life sciences sectors.     Through his leadership at Iaso Ventures and previous roles, Malik has demonstrated a strong commitment to advancing healthcare and technology through strategic investments and partnerships. His work continues to influence the development of innovative solutions in the biotech and deep tech industries, contributing to the growth and success of numerous startups in these fields.</t>
  </si>
  <si>
    <t>Seed, Pre-Seed</t>
  </si>
  <si>
    <t>Healthcare, Artificial Intelligence, Digital Health, Pharmaceuticals, Biotech, DeepTech, Therapeutics</t>
  </si>
  <si>
    <t>United States, United Kingdom, Pakistan</t>
  </si>
  <si>
    <t>Innovative solutions in deep tech and biotech sectors, Strong management teams, Scalable business models, Potential for significant impact in healthcare and life sciences</t>
  </si>
  <si>
    <t>Catena Biosciences, TVlize, ClexBio, Soovu, Celeri Health, Scaffold Therapeutics, Deep6 AI, BeamGift</t>
  </si>
  <si>
    <t>SSG Capital Management</t>
  </si>
  <si>
    <t>Room 4202-4204, 42/F Gloucester Tower, The Landmark, 15 Queen's Road Central, Central, Hong Kong</t>
  </si>
  <si>
    <t>https://www.aresmgmt.com/our-business/ares-strategic-initiatives/ares-ssg</t>
  </si>
  <si>
    <t>rgreene@ssgasia.com</t>
  </si>
  <si>
    <t>+852-3909-8888</t>
  </si>
  <si>
    <t>Established in 2009, SSG Capital Management is a pan-Asian alternative investment manager focusing on special situations investing in Greater China, India, and Southeast Asia. The firm seeks to generate stable, long-term returns through a fundamental-driven and value-oriented approach. Since its inception, SSG has grown to manage over US$3 billion in capital across two families of funds: SSG Capital Partners, which focuses on special situations investments, and Secured Lending Opportunities, which targets higher-quality credit opportunities. The team comprises professionals with extensive industry experience, local knowledge, and strategic relationships in the pan-Asia region. SSG maintains offices in Hong Kong, Singapore, Shanghai, Mumbai, Jakarta, and Mauritius. SSG Capital Management (HK) Ltd. is an Investment Manager licensed by the Hong Kong Securities and Futures Commission (Types 1 &amp; 9).    In January 2020, Ares Management Corporation announced an agreement to acquire a controlling interest in SSG Capital Holdings Limited, the parent company of SSG Capital Management. The transaction was completed in July 2020, further expanding Ares Management's global leadership in private credit. Following the acquisition, SSG Capital Management was rebranded as Ares SSG. The firm continues to operate under the Ares SSG name, providing alternative investment strategies across Asia.    As of March 31, 2020, SSG managed over $6 billion in assets, offering differentiated investment strategies to its global investor base. The firm's experienced management team has delivered attractive investment performance across various market cycles, transaction types, and Asian countries, including India, Indonesia, China, and Thailand. SSG is regarded as one of the top investment firms in Asia, with numerous industry distinctions and accolades for its lending and distressed activities.</t>
  </si>
  <si>
    <t>Distressed, Turnaround, Buyout</t>
  </si>
  <si>
    <t>Distressed and Special Situations, Private Equity, Private Credit</t>
  </si>
  <si>
    <t>Hong Kong, Japan, Australia, Singapore, China, India, Indonesia, South Korea, Pakistan, Bangladesh, Vietnam, Mongolia, Malaysia, New Zealand, Philippines, Thailand, Sri Lanka, Nepal, Myanmar, Cambodia, Laos</t>
  </si>
  <si>
    <t>Two International Finance Centre, Central, Hong Kong</t>
  </si>
  <si>
    <t>https://eqtgroup.com/eqt-private-capital-asia</t>
  </si>
  <si>
    <t>info@eqtgroup.com</t>
  </si>
  <si>
    <t>+65 6232 6300</t>
  </si>
  <si>
    <t>EQT Private Capital Asia is a prominent private equity firm specializing in mid-market growth investments throughout Asia. The firm focuses on high-growth companies in sectors such as technology, services, and healthcare, with a particular emphasis on India, Southeast Asia, Japan, and Australia. Their investment strategy involves thematic control buyouts, integrating digitalization and sustainability throughout the investment lifecycle.    The firm operates with a team of over 100 investment professionals across eight offices in Hong Kong, Singapore, Mumbai, Tokyo, Seoul, Beijing, Shanghai, and Sydney. This extensive presence enables EQT Private Capital Asia to leverage local market knowledge and global expertise, providing comprehensive support to portfolio companies. Their approach emphasizes active ownership, aiming to drive sustainable growth and operational excellence.    In May 2024, EQT Private Capital Asia's Mid-Market Growth Fund held its final close at USD 1.6 billion in total fund commitments, more than doubling its original target size of USD 750 million. This achievement underscores the growing interest in Asia's mid-market segment and the firm's commitment to addressing the region's financing gap. The fund's success reflects EQT Private Capital Asia's strong track record and its ability to attract diverse investors globally.</t>
  </si>
  <si>
    <t>High-growth mid-market companies, Sectors: technology, services, healthcare, Geographies: India, Southeast Asia, Japan, Australia, Focus on digitalization and sustainability, Preference for control buyouts</t>
  </si>
  <si>
    <t>HRBrain, IMG Academy, Indira IVF, HDFC Credila, VetPartners, Benesse, Tricor-Vistra, TRYT, Coforge</t>
  </si>
  <si>
    <t>JCM Power Corporation</t>
  </si>
  <si>
    <t>21 St. Clair Avenue East, Suite 700, Toronto</t>
  </si>
  <si>
    <t>http://www.jcmcapital.ca</t>
  </si>
  <si>
    <t>https://www.linkedin.com/company/jcm-capital</t>
  </si>
  <si>
    <t>info@jcmcapital.ca</t>
  </si>
  <si>
    <t>JCM Power Corporation is a Canadian private equity firm specializing in the development and operation of renewable energy projects in emerging markets. The company focuses on wind, solar, and energy storage projects, aiming to accelerate social, economic, and environmental sustainability in regions with growing energy demands and abundant renewable resources. JCM Power has established a diverse portfolio of projects across Canada, the Dominican Republic, South Africa, Tanzania, Malawi, Pakistan, and various countries in South and Southeast Asia and Sub-Saharan Africa.    The firm's investment strategy involves forming long-term partnerships with local communities, governments, and financial institutions to build and operate clean energy projects. By leveraging its expertise in project development, JCM Power manages all aspects of renewable energy projects, including site selection, permitting, financing, construction, and operation. This comprehensive approach ensures the successful implementation of projects that provide reliable and affordable energy solutions to underserved regions.    JCM Power's commitment to sustainability is evident in its dedication to the highest ethical, social, and environmental standards. The company works closely with local stakeholders to ensure that its projects are socially responsible and create economic opportunities for the community. This includes hiring local workers, sourcing materials locally, and investing in community development programs that support education, health, and other social needs. Through its innovative projects and community-focused approach, JCM Power continues to play a significant role in advancing the global transition to a low-carbon economy.</t>
  </si>
  <si>
    <t>Infrastructure, Private Equity, Renewable Energy</t>
  </si>
  <si>
    <t>Infrastructure, Renewable Energy, Power Generation, Energy Infrastructure, Environmental Services, Energy Storage, Clean Technology, Solar Energy, Project Development, Sustainable Development, Environmental Consulting, Wind Energy, Energy Finance, Energy Consulting, Electricity Transmission</t>
  </si>
  <si>
    <t>Canada, Pakistan, South Africa, Sub-Saharan Africa, Tanzania, Dominican Republic, Malawi, South and Southeast Asia</t>
  </si>
  <si>
    <t>Sovereign support, Low electrification rates, High irradiation/wind resources, Power contracts fixed to hard currencies, Backing of the Development Finance Institution (DFI) community</t>
  </si>
  <si>
    <t>K2 Wind Farm, La Castellana Wind Farm, Bokpoort CSP Project, Matafongo Wind Farm</t>
  </si>
  <si>
    <t>Hector Capital Partners</t>
  </si>
  <si>
    <t>16 Collyer Quay #21-00 Income At Raffles, Singapore 049318</t>
  </si>
  <si>
    <t>https://www.hectorcapital.com/</t>
  </si>
  <si>
    <t>info@hectorcapital.com</t>
  </si>
  <si>
    <t>+65 6818 9906</t>
  </si>
  <si>
    <t>Hector Capital Partners is a private equity firm specializing in investing in growth-oriented consumer product companies and other consumer-related businesses. The firm targets EBITDA-profitable and growing small and medium-sized enterprises (SMEs) that provide commonly used products and services aimed at large markets. Their investment approach includes selectively investing in seed-stage startups led by extraordinary entrepreneurs with unique technologies or ideas that can define the next era of innovation. Additionally, they invest in special situations, convertible equity, distressed companies with underappreciated assets, and short-term senior-secured mezzanine or debt investments.    The firm's investment strategy focuses on the consumer space, encompassing categories such as e-commerce and share economy companies, consumer services, mobile applications and related technologies, data and internet securities, hospitality-related technologies, education, and interior and exterior design industries. They aim to leverage their investment expertise and processes to opportunistically deploy capital efficiently across their portfolio of companies.    Hector Capital Partners was founded in 2010 as a boutique private investment company seeking to leverage the partners' entrepreneurial and investment experience. Initially, the firm provided consultancy in the private equity space in the UK and US. Over time, the partners began investing directly into private companies in Southeast Asia and the US. Since late 2012, they have focused exclusively on direct and co-investments in growing consumer businesses in Asia and the US, with plans to explore opportunities in South America and the Middle East in the future.    Some of their portfolio investments include RedDuck, Criquet Shirts, Grainful, Le Grand Courtâge, Sound Sparkling Tea, Greycork, Factor75, Cora, August Backyard Chicken Pvt Ltd, Snack It Forward LLC, New Zealand Natural, Trustify.info, Plays Product Venture Pte Ltd, and Republic of Chicken.    Their office is located at 16 Collyer Quay #21-00 Income At Raffles, Singapore 049318. For inquiries, they can be contacted via email at info@hectorcapital.com or by phone at +65 6818 9906.    Please note that the information provided is based on available sources and may be subject to change. For the most current information, it is recommended to visit their official website or contact them directly.</t>
  </si>
  <si>
    <t>Financial Services, Technology, Healthcare, Real Estate, Telecommunications, Retail, Education, Renewable Energy, Agriculture, Consumer Products, E-commerce, Logistics, Transportation, Manufacturing, Consumer Services, Media and Entertainment, Mobile Applications, Data and Internet Securities, Hospitality Technologies, Interior and Exterior Design</t>
  </si>
  <si>
    <t>United States, Japan, Singapore, China, India, Indonesia, South Korea, Pakistan, Bangladesh, Vietnam, Malaysia, Afghanistan, Philippines, Thailand, Maldives, Sri Lanka, Nepal, Bhutan, Myanmar, Laos</t>
  </si>
  <si>
    <t>TPG Newbridge</t>
  </si>
  <si>
    <t>301 Commerce Street, Suite 3300, Fort Worth, TX 76102</t>
  </si>
  <si>
    <t>https://www.tpg.com/</t>
  </si>
  <si>
    <t>https://www.linkedin.com/company/tpg-capital</t>
  </si>
  <si>
    <t>investorrelations@tpg.com</t>
  </si>
  <si>
    <t>+1 817 871 4000</t>
  </si>
  <si>
    <t>TPG Newbridge is a private equity firm specializing in investments across Asia. The firm focuses on growth capital, late-stage, and buyout investments in various industries, including consumer/retail, media and telecommunications, industrials, technology, travel, leisure, and healthcare. TPG Newbridge's investment strategy emphasizes deep sector knowledge and experience in building successful businesses. The firm has a strong track record of partnering with management teams to drive value creation and operational improvements. TPG Newbridge's approach is characterized by a commitment to innovation, collaboration, and a long-term perspective, aiming to deliver both financial returns and positive societal impact through its investments.</t>
  </si>
  <si>
    <t>Technology, Healthcare, Industrials, Media and Telecommunications, Leisure, Travel, Consumer/Retail</t>
  </si>
  <si>
    <t>Strong management teams, Clear growth potential, Competitive market position, Ability to scale operations, Commitment to operational excellence</t>
  </si>
  <si>
    <t>Continental Airlines, Beringer Wine, Ducati Motorcycles, Del Monte Foods</t>
  </si>
  <si>
    <t>Oppenheimer Partners</t>
  </si>
  <si>
    <t>Johannesburg, South Africa</t>
  </si>
  <si>
    <t>https://www.oppenheimer-partners.com/</t>
  </si>
  <si>
    <t>info@oppenheimer-partners.com</t>
  </si>
  <si>
    <t>+27 11 087 0100</t>
  </si>
  <si>
    <t xml:space="preserve">Oppenheimer Partners is a global investment firm founded in 2016 by Jonathan Oppenheimer and three other partners, with offices in Johannesburg and London. The firm specializes in making strategic, long-term investments as a shareholder in various businesses, aiming to create value through active partnership and operational expertise. While it invests globally, Oppenheimer Partners maintains a significant competitive advantage in Africa and emerging markets.  The firm's investment philosophy centers on four key areas: a global mandate, active partnership, permanent capital, and positive impact. It views itself as a partner for its portfolio companies, providing strategic input and operational expertise to create value for all stakeholders. Oppenheimer Partners has a diverse portfolio spanning sectors such as consumer goods, logistics, manufacturing, healthcare, agribusiness, financial services, technology, media, telecommunications, energy, real estate, education, retail, transportation, and infrastructure.  Notable investments include GZ Industries, Nigeria's leading beverage can manufacturer, and Amrod, a supplier of branded promotional products in South Africa. The firm has also invested in Medical Specialist Holdings, a South African-based company offering oncology-related services across Africa. Oppenheimer Partners' approach emphasizes long-term value creation and positive impact, aligning with the Oppenheimer family's legacy and commitment to making a meaningful contribution to society.  </t>
  </si>
  <si>
    <t>Buyout</t>
  </si>
  <si>
    <t>Financial Services, Technology, Healthcare, Energy, Consumer Goods, Real Estate, Infrastructure, Telecommunications, Media, Retail, Education, Logistics, Transportation, Manufacturing, Agribusiness</t>
  </si>
  <si>
    <t>United States, United Kingdom, Canada, Australia, Singapore, France, Ghana, Kenya, Egypt, Pakistan, Jordan, South Africa, Sudan, Nigeria, Uganda, Mauritius, Côte d'Ivoire, Zimbabwe, Botswana, Burkina Faso</t>
  </si>
  <si>
    <t>GZ Industries, Amrod, Medical Specialist Holdings</t>
  </si>
  <si>
    <t>Scott Shleifer</t>
  </si>
  <si>
    <t>9 West 57th Street, 35th Floor, New York, NY 10019</t>
  </si>
  <si>
    <t>Tiger Global Management is a prominent private investment firm that specializes in private equity and venture capital investments. The firm focuses on a diverse range of industries, including technology, consumer goods, financial services, healthcare, media, telecommunications, energy, industrials, real estate, retail, transportation, education, agriculture, automotive, and logistics. Tiger Global's investment strategy encompasses various stages, from early-stage ventures to growth, late-stage, pre-IPO, and buyout opportunities. The firm's geographical focus spans multiple countries, including the United States, China, India, Brazil, Russia, South Korea, Indonesia, Mexico, Turkey, Argentina, South Africa, Thailand, Vietnam, Malaysia, Philippines, Pakistan, Bangladesh, Nigeria, Egypt, and Saudi Arabia. Tiger Global Management has a history of making substantial investments, with minimum investments starting at $10 million and maximum investments reaching up to $500 million. The firm's portfolio includes a wide array of companies across different sectors and stages, reflecting its comprehensive investment approach.    Founded in 2001, Tiger Global Management has established itself as a significant player in the private investment landscape. The firm has a history of making substantial investments, with minimum investments starting at $10 million and maximum investments reaching up to $500 million. Tiger Global's portfolio includes a wide array of companies across different sectors and stages, reflecting its comprehensive investment approach. The firm's leadership has evolved over time, with Scott Shleifer stepping down as head of private equity in November 2023 to transition to a senior advisor role, while founder Chase Coleman assumed management of both public and private investments. Despite this change, Tiger Global continues to operate as a leading private investment firm with a diverse and expansive portfolio.    Tiger Global Management's investment philosophy emphasizes a long-term approach, aiming to generate world-class returns for its investors. The firm is known for its founder-friendly and hands-off approach, allowing portfolio companies to operate independently while providing strategic guidance and support. This philosophy has contributed to the firm's success in identifying and nurturing high-growth companies across various industries and regions. Tiger Global's commitment to innovation and strategic investment has solidified its reputation as a leading private investment firm in the global market.</t>
  </si>
  <si>
    <t>Financial Services, Technology, Healthcare, Energy, Real Estate, Telecommunications, Media, Automotive, Retail, Education, Agriculture, Industrial, Consumer, Logistics, Transportation</t>
  </si>
  <si>
    <t>United States, China, India, Brazil, Mexico, Indonesia, South Korea, Saudi Arabia, Egypt, Turkey, Pakistan, Bangladesh, South Africa, Russia, Vietnam, Malaysia, Philippines, Thailand, Nigeria, Argentina</t>
  </si>
  <si>
    <t>High-growth potential, Innovative business models, Strong management teams, Scalable operations, Competitive market positioning</t>
  </si>
  <si>
    <t>JD.com, Didi Chuxing, Meituan, NotCo, Progcap, Pagaya, FalconX</t>
  </si>
  <si>
    <t>INCO Investissement</t>
  </si>
  <si>
    <t>jean-michel@inco-group.co</t>
  </si>
  <si>
    <t>INCO Investissement is a French private equity firm dedicated to financing and supporting companies that contribute to social inclusion, cohesion, and environmental preservation. The firm focuses on investing in early-stage and growth companies that aim to scale their impact.    The firm's investment strategy emphasizes sectors such as technology, healthcare, education, agriculture, energy, environment, transportation, housing, water, sanitation, waste management, financial services, retail, manufacturing, and construction. INCO Investissement operates across a wide geographical area, including France, the United States, Israel, Canada, and numerous other countries worldwide.    INCO Investissement is part of INCO Ventures, a management company registered with the French Financial Markets Authority (AMF) under the number GP-19000013 since March 11, 2019. As of June 30, 2025, INCO Ventures manages over 135 million euros, supporting projects that transform the economy and promote a more just and sustainable society. The firm is a pioneer in impact investing in France, managing five impact funds, including Generali Investissement à Impact and INCO Investissement.</t>
  </si>
  <si>
    <t>Financial Services, Technology, Healthcare, Energy, Retail, Education, Agriculture, Transportation, Construction, Manufacturing, Waste Management, Housing, Water, Environment, Sanitation</t>
  </si>
  <si>
    <t>United States, United Kingdom, Canada, Germany, Japan, Australia, Singapore, China, India, Brazil, France, Italy, Denmark, United Arab Emirates, Switzerland, Spain, Mexico, Indonesia, Ghana, Kenya, Luxembourg, South Korea, Ireland, Austria, Saudi Arabia, Qatar, Kuwait, Egypt, Tunisia, Libya, Morocco, Algeria, Lebanon, Turkey, Pakistan, Jordan, Somalia, Iraq, South Africa, Montenegro, Hungary, Vietnam, Mongolia, Malaysia, Palestine, Sudan, Mali, Chad, Ethiopia, Mauritania, Yemen, Philippines, Slovenia, Croatia, Portugal, Sweden, Belgium, Israel, Malta, Greece, Thailand, Rwanda, Finland, Zambia, Cyprus, Poland, Chile, Argentina, Colombia, Peru, Czech Republic, Slovakia, Serbia, Romania, Bulgaria, Taiwan, Syria, Comoros, Sao Tome and Principe, Eritrea, Uganda, Tanzania, Burundi, South Sudan, Mauritius, Seychelles, Maldives, Sri Lanka, Laos, Iran, Iceland, Estonia, Latvia, Lithuania, Liechtenstein, El Salvador, Bolivia, Panama, Uruguay, Venezuela, Georgia, Dominican Republic, Costa Rica, Cameroon, Senegal, Angola, Ukraine, Moldova, Armenia, Monaco, Ecuador, Paraguay, Guatemala, Honduras, Kazakhstan, Uzbekistan, Kyrgyzstan, Saint Kitts and Nevis, Trinidad and Tobago, Barbados, Jamaica, Saint Lucia, Turkmenistan, Tajikistan, Benin, Zimbabwe, Gabon, Botswana, Malawi, Sierra Leone, Liberia, Burkina Faso, Gambia, Guinea, Lesotho, Madagascar, Solomon Islands, Suriname, Togo, Vanuatu, Timor-Leste, Equatorial Guinea, Haiti, Dominica, Saint Vincent and the Grenadines, Samoa, San Marino, Tonga, Tuvalu</t>
  </si>
  <si>
    <t>Companies with positive social and environmental impact, Early-stage and growth companies seeking to scale, Sectors: technology, healthcare, education, agriculture, energy, environment, transportation, housing, water, sanitation, waste management, financial services, retail, manufacturing, construction, Geographical focus: France, United States, Israel, Canada, and other countries worldwide</t>
  </si>
  <si>
    <t>Metrica Partners Pte. Ltd.</t>
  </si>
  <si>
    <t>50 Raffles Place, #31-05 Singapore Land Tower, Singapore</t>
  </si>
  <si>
    <t>https://metricapartners.com/</t>
  </si>
  <si>
    <t>https://www.linkedin.com/company/metric-capital-partners</t>
  </si>
  <si>
    <t>info@metricapartners.com</t>
  </si>
  <si>
    <t>+65 6904 1992</t>
  </si>
  <si>
    <t xml:space="preserve">Metrica Partners Pte. Ltd. is an investment management firm headquartered in Singapore, focusing on opportunities in the Asia-Pacific region. The firm is a Registered Fund Management Company, regulated by the Monetary Authority of Singapore. Founded in 2016 by Damian L. Edwards and David Mulvenna, Metrica manages funds for investors including institutions, foundations, and high-net-worth individuals. The firm specializes in identifying companies that are undervalued by the stock market, aiming to unlock intrinsic value through active engagement and strategic guidance.    Metrica's investment strategy centers on building constructive relationships with the senior management and directors of its portfolio companies. The firm offers advice on strategic, financial, operational, and corporate governance matters, emphasizing a collaborative approach to enhance long-term value. Metrica believes in the effectiveness of collective action and often invites other investors to participate in its initiatives, sharing analysis and recommendations through public channels.    As a persistent and patient investor, Metrica concentrates its portfolio on its best ideas, maintaining shareholdings until its engagement objectives are satisfactorily met. The firm's mission is to generate value for multiple stakeholders—investors, portfolio company shareholders, management, and employees—contributing to the growth and dynamism of the broader economies in the Asia-Pacific region. Metrica is also a signatory to the Korea Stewardship Code, reflecting its commitment to responsible investment practices and enhancing corporate governance standards in its investee companies.    </t>
  </si>
  <si>
    <t>Financial Services, Technology, Healthcare, Energy, Consumer Goods, Real Estate, Materials, Telecommunications, Media, Industrial Manufacturing, Retail, Agriculture, Logistics, Transportation, Specialty Chemicals</t>
  </si>
  <si>
    <t>Companies with market valuations below intrinsic value, Opportunities in the Asia-Pacific region, Potential for strategic, financial, operational, and governance improvements</t>
  </si>
  <si>
    <t>SK Chemicals, Samsung Biologics, Hyundai Engineering &amp; Construction, LG Electronics, POSCO, Kakao Corp, Naver Corp, Samsung Electronics, Hyundai Motor Company, SK Telecom, LG Chem, Korea Electric Power Corporation, Korea Gas Corporation, Korea National Oil Corporation, Korea Zinc, Korea Investment Holdings, Korea Investment &amp; Securities, Korea Investment Management, Korea Investment Private Equity, Korea Investment Asset Management</t>
  </si>
  <si>
    <t>Worldsec Limited</t>
  </si>
  <si>
    <t>Unit 607, 6th Floor, FWD Financial Centre, 308 Des Voeux Road Central, Sheung Wan</t>
  </si>
  <si>
    <t>http://www.worldsec.com</t>
  </si>
  <si>
    <t>enquiry@worldsec.com</t>
  </si>
  <si>
    <t>+17788193251</t>
  </si>
  <si>
    <t>Worldsec Limited is a private investment firm specializing in small and medium-sized trading companies across Greater China and Southeast Asia. The firm primarily invests in private equity and venture capital opportunities, targeting early-stage to late-stage companies. Their portfolio spans various industries, including technology, healthcare, consumer goods, and financial services. The firm is headquartered in Hong Kong and has a strong presence in the region.  The firm's investment strategy emphasizes identifying high-growth potential companies within the Greater China and Southeast Asia markets. By leveraging its regional expertise, Worldsec Limited aims to support the growth and development of its portfolio companies through strategic guidance and capital infusion. The firm maintains a diversified portfolio to mitigate risks and capitalize on emerging market opportunities.  Worldsec Limited's track record includes investments in notable companies such as Animoca Brands Corporation and ByteDance. The firm's philosophy centers on fostering long-term partnerships with its investees, providing not only capital but also strategic support to drive sustainable growth and value creation. This approach has enabled Worldsec Limited to establish a reputation as a committed and value-added investor in the region.</t>
  </si>
  <si>
    <t>Strong growth potential, Experienced management team, Scalable business model, Competitive market position, Alignment with Worldsec's investment strategy</t>
  </si>
  <si>
    <t>Animoca Brands Corporation, ByteDance, Dingdong (Cayman) Limited, Seyond Holdings Ltd., Oasis Education Group Limited</t>
  </si>
  <si>
    <t>Incofin CVSO</t>
  </si>
  <si>
    <t>Ravensteinstraat 1, 9000 Gent</t>
  </si>
  <si>
    <t>BE</t>
  </si>
  <si>
    <t>https://incofincvso.be</t>
  </si>
  <si>
    <t>https://www.linkedin.com/company/incofin-cvso</t>
  </si>
  <si>
    <t>info@incofin.com</t>
  </si>
  <si>
    <t>+32 3 829 25 36</t>
  </si>
  <si>
    <t>Incofin CVSO is a Belgian cooperative investment fund dedicated to supporting micro-entrepreneurs in developing countries by investing in sustainable microfinance institutions. Through its investments, Incofin CVSO aims to provide financial services tailored to small local enterprises, thereby enhancing their economic opportunities and improving their livelihoods. The fund operates in various countries across Africa, Asia, and Latin America, focusing on regions where access to traditional banking services is limited.    The fund's investment strategy involves both direct and indirect investments in microfinance institutions (MFIs), offering equity participations and loans. These MFIs, in turn, provide microcredits to local entrepreneurs, enabling them to start or expand their businesses. Incofin CVSO's portfolio includes a diverse range of sectors such as agriculture, healthcare, education, renewable energy, and more, reflecting its commitment to fostering inclusive economic development. The fund's approach emphasizes social impact alongside financial returns, aiming to create positive social and environmental outcomes in the communities it serves.    Incofin CVSO is managed by Incofin Investment Management, a licensed investment company headquartered in Belgium with a global network of regional offices. The fund is also a founding partner of the Fair Trade Access Fund, established in 2012, which focuses on improving access to finance for smallholder farmers and Fair Trade certified producers. This partnership underscores Incofin CVSO's dedication to promoting fair trade practices and supporting sustainable development initiatives worldwide.</t>
  </si>
  <si>
    <t>Private Equity, Fixed Income (Debt and Bonds)</t>
  </si>
  <si>
    <t>Financial Services, Healthcare, Retail, Education, Renewable Energy, Agriculture, Construction, Manufacturing, ICT, Microfinance, Tourism, Transport, Housing, Water and Sanitation, Textiles</t>
  </si>
  <si>
    <t>India, Indonesia, Ghana, Kenya, Pakistan, Bangladesh, Vietnam, Niger, Mali, Philippines, Rwanda, Zambia, Colombia, Peru, Uganda, Tanzania, El Salvador, Senegal, Mozambique, Ecuador, Guatemala, Honduras, Nicaragua, Zimbabwe, Malawi, Madagascar</t>
  </si>
  <si>
    <t>Kashf Foundation, FINCA International, Equity Bank, FINCA Uganda, FINCA Tanzania, FINCA Malawi, FINCA Zambia, FINCA Rwanda, FINCA Haiti, FINCA Afghanistan, FINCA Pakistan, FINCA Kyrgyzstan, FINCA Tajikistan, FINCA Georgia, FINCA Azerbaijan, FINCA Armenia, FINCA Kosovo, FINCA Albania, FINCA Bosnia and Herzegovina, FINCA Macedonia</t>
  </si>
  <si>
    <t>Agricultural Bank Investment</t>
  </si>
  <si>
    <t>131 Xidazhi Street, Nangang District, Harbin</t>
  </si>
  <si>
    <t>Heilongjiang Province</t>
  </si>
  <si>
    <t>https://abcimchina.com/</t>
  </si>
  <si>
    <t>customercenter@dbwealthag.de</t>
  </si>
  <si>
    <t>Agricultural Bank Investment is a Chinese investment firm affiliated with the Agricultural Bank of China, focusing on investments in agriculture and related sectors. The firm operates as an institutional investor, engaging in private equity, venture capital, real estate, infrastructure, commodities, and fixed income investments. It targets various stages of investment, including seed, early stage, growth, late stage, pre-IPO, buyout, turnaround, and distressed opportunities. The firm's geographical focus spans multiple countries, including China, the United States, Germany, the United Kingdom, France, Japan, South Korea, Australia, Singapore, Hong Kong, Taiwan, Vietnam, Malaysia, Thailand, Indonesia, the Philippines, India, Pakistan, Bangladesh, Nepal, and Sri Lanka. Its industry focus encompasses agriculture, technology, healthcare, financial services, energy, consumer goods, telecommunications, transportation, media, education, real estate, infrastructure, retail, manufacturing, and utilities. Investment sizes range from $1 million to $50 million. The firm's official website is https://abcimchina.com/, and it can be contacted via email at customercenter@dbwealthag.de. The firm's headquarters are located at 131 Xidazhi Street, Nangang District, Harbin, Heilongjiang Province, China.</t>
  </si>
  <si>
    <t>Private Equity, Venture Capital, Real Estate, Infrastructure, Commodities, Fixed Income (Debt and Bonds)</t>
  </si>
  <si>
    <t>United States, United Kingdom, Germany, Hong Kong, Japan, Australia, Singapore, China, India, France, Indonesia, South Korea, Pakistan, Bangladesh, Vietnam, Malaysia, Philippines, Thailand, Taiwan, Sri Lanka, Nepal</t>
  </si>
  <si>
    <t>Focus on agriculture and related sectors, Geographical focus includes China and other specified countries, Interest in various industries including agriculture, technology, healthcare, and more, Engagement in multiple investment stages from seed to distressed opportunities</t>
  </si>
  <si>
    <t>Burkhan Capital</t>
  </si>
  <si>
    <t>Burkhan Capital is a global investment firm with offices in Miami and Abu Dhabi, focusing on high-impact opportunities in strategic sectors such as AI, technology, infrastructure, and critical minerals. The firm operates across multiple regions, partnering with governments, sovereign institutions, and private entities to deliver investments that strengthen national resilience, accelerate innovation, and generate long-term value. Their portfolio includes companies in technology, infrastructure, mining, energy, real estate, financial services, and social impact initiatives. Burkhan Capital's investment strategy emphasizes sustainable, high-impact economic transformation through multi-sector investments. They design and manage capital vehicles that align sovereign, institutional, and private investors around large-scale projects, improving bankability and accelerating execution. Their approach includes co-investment and structured finance, providing structured capital, project financing, and co-investment opportunities that support long-term development objectives. The firm has been involved in significant investments, such as leading a $300 million investment in Robo.ai Inc. to accelerate its growth and transformation in AI-enabled technology. This investment aims to build out Robo.ai's global platform, integrating smart devices into an AI-enabled ecosystem using blockchain technology. Additionally, Burkhan Capital led a consortium that committed to investing $300 million in Robo.ai, marking a strategic partnership to empower and accelerate Robo.ai's growth and transformation. The firm also announced Blaize's successful IPO on NASDAQ via BurTech Acquisition Corporation, reflecting their commitment to identifying and supporting transformative technologies that drive global change. Burkhan Capital's investment philosophy is guided by disciplined governance and a future-oriented investment approach, focusing on sectors that shape national and economic futures. They partner with governments, sovereign institutions, enterprises, and local ecosystems to deliver investments that strengthen national resilience, accelerate innovation, and generate long-term value. Their strategy spans core pillars such as Technology &amp; AI Infrastructure, Mining &amp; Industrial Resources, Energy &amp; Critical Infrastructure, Real Estate &amp; Urban Development, Financial Services &amp; Capital Solutions, and Social Impact, NGOs &amp; Education. Through these investments, Burkhan Capital aims to build integrated platforms where technology, industry, infrastructure, and society evolve together, creating long-term value for communities and economies.</t>
  </si>
  <si>
    <t>Private Equity, Venture Capital, Infrastructure, Real Estate, Critical Minerals, Technology, AI, Energy, Defense, Natural Resources, Financial Services, Social Impact, Mining, Industrial Resources, Telecom, Defense-Dual-Use, Data-Driven Industries, Semiconductor, Hardware, FinTech, Data Management, White House/Federal Government, Public Policy/Government</t>
  </si>
  <si>
    <t>Technology, Energy, Real Estate, Infrastructure, Finance, FinTech, Mining, AI, Hardware, Defense, Telecom, Semiconductor, Data Management, Natural Resources, Resources, Critical Minerals, Social Development, Public Policy/Government, White House/Federal Government, Industrial Resources, Defense-Dual-Use, Data-Driven Industries</t>
  </si>
  <si>
    <t>United States, Japan, Singapore, China, India, United Arab Emirates, Indonesia, South Korea, Saudi Arabia, Kuwait, Turkey, Pakistan, Bangladesh, Vietnam, Malaysia, Afghanistan, Philippines, Thailand, Cyprus, Sri Lanka</t>
  </si>
  <si>
    <t>High-impact opportunities in strategic sectors like AI, technology, infrastructure, and critical minerals, Partnerships with governments, sovereign institutions, and private entities, Focus on sustainable, high-impact economic transformation, Alignment with national and industrial priorities, Commitment to long-term development objectives, Involvement in sectors such as technology, infrastructure, mining, energy, real estate, financial services, and social impact initiatives, Emphasis on disciplined governance and future-oriented investment approach, Focus on sectors that shape national and economic futures, Partnerships with enterprises and local ecosystems to strengthen national resilience, Commitment to accelerating innovation and generating long-term value, Alignment with core pillars such as Technology &amp; AI Infrastructure, Mining &amp; Industrial Resources, Energy &amp; Critical Infrastructure, Real Estate &amp; Urban Development, Financial Services &amp; Capital Solutions, and Social Impact, NGOs &amp; Education, Building integrated platforms where technology, industry, infrastructure, and society evolve together, Creating long-term value for communities and economies</t>
  </si>
  <si>
    <t>Robo.ai Inc., Blaize, Arkreen, Blaize Holdings, BurTech Acquisition Corporation, Grand Mines, Saudi Grand Mines Mining</t>
  </si>
  <si>
    <t>Peacock Capital Group</t>
  </si>
  <si>
    <t>Hong Kong SAR</t>
  </si>
  <si>
    <t>https://peacockcap.com/</t>
  </si>
  <si>
    <t>ir@peacockcap.com</t>
  </si>
  <si>
    <t>+86 (21) 5466 0228</t>
  </si>
  <si>
    <t>Peacock Capital Group is a boutique investment bank founded in 2012 in Hong Kong SAR, focusing on corporate finance advisory, alternative investments, and business consulting across the Greater China region. The firm offers services in fundraising, M&amp;A advisory, IPO advisory, and alternative investments, leveraging its team's expertise in sectors such as consumer, entertainment, industrial, real estate, and technology, media, and telecommunications (TMT).    With a team of seasoned professionals, Peacock Capital Group assists clients with cross-border capital raising, investment, and M&amp;A transactions. The firm has successfully completed debt restructuring, equity fundraising, investment, IPO, M&amp;A, and group reorganization transactions, totaling over US$1 billion. Its mission is to become a trusted premium boutique investment bank providing quality corporate finance advisory and investment management services in the Greater China region.    Peacock Capital Group aims to create value through identifying intrinsic value and hidden opportunities, formulating forward-looking strategies with viable execution plans, and effective and timely execution of action plans. The firm is committed to delivering results with a world-class standard of professionalism, serving clients that include entrepreneurs, startups, corporates, family offices, venture capital funds, and private equity firms.</t>
  </si>
  <si>
    <t>Technology, Real Estate, Telecommunications, Media, Industrial, Consumer, Entertainment</t>
  </si>
  <si>
    <t>Hong Kong, Japan, Singapore, China, India, Indonesia, South Korea, Pakistan, Bangladesh, Vietnam, Malaysia, Afghanistan, Philippines, Thailand, Taiwan, Sri Lanka, Nepal, Myanmar, Cambodia, Laos</t>
  </si>
  <si>
    <t>Focus on Greater China region, Expertise in consumer, entertainment, industrial, real estate, and TMT sectors, Experience in cross-border capital raising, investment, and M&amp;A transactions, Ability to handle transactions totaling over US$1 billion</t>
  </si>
  <si>
    <t>SideChef, Reyin</t>
  </si>
  <si>
    <t>Altavista Investment Management UK LLP</t>
  </si>
  <si>
    <t>De Morgan House, 57-58 Russell Square, London</t>
  </si>
  <si>
    <t>http://altavistacap.com/</t>
  </si>
  <si>
    <t>david@avcadvisors.com</t>
  </si>
  <si>
    <t>+44-207-723-2191</t>
  </si>
  <si>
    <t>Altavista Investment Management UK LLP is a London-based hedge fund specializing in emerging markets and global macro strategies. The firm employs long/short equity strategies to capitalize on market inefficiencies across various asset classes.    The firm's investment approach focuses on identifying opportunities in both developed and emerging markets, utilizing a global macro perspective to inform its investment decisions. Altavista's portfolio includes a diverse range of industries, reflecting its broad investment mandate.    With a team of experienced professionals, Altavista Investment Management UK LLP aims to deliver superior risk-adjusted returns to its investors through a disciplined and research-driven investment process.</t>
  </si>
  <si>
    <t>Emerging Markets, Global Macro, Long/Short Equities</t>
  </si>
  <si>
    <t>United States, United Kingdom, China, India, Brazil, Mexico, Indonesia, South Korea, Egypt, Turkey, Pakistan, Bangladesh, South Africa, Russia, Vietnam, Malaysia, Philippines, Thailand, Nigeria, Argentina</t>
  </si>
  <si>
    <t>Accredited Investors, Institutional Investors, High Net-Worth Individuals</t>
  </si>
  <si>
    <t>Tata Consultancy Services, Reliance Industries, Alibaba Group, Tencent Holdings, Samsung Electronics, Nokia, Vodafone Group, BP, ExxonMobil, Chevron, HSBC Holdings, JPMorgan Chase, Goldman Sachs, Citigroup, Morgan Stanley, General Electric, Siemens, Toyota Motor Corporation, Volkswagen Group, Ford Motor Company</t>
  </si>
  <si>
    <t>Invesco Developing Markets Fund</t>
  </si>
  <si>
    <t>280 Park Avenue, 12th Floor, New York, NY 10017</t>
  </si>
  <si>
    <t>https://www.invesco.com/us/en/mutual-fund/developing-markets-fund.html</t>
  </si>
  <si>
    <t>investorservices@invesco.com</t>
  </si>
  <si>
    <t>(800) 959-4246</t>
  </si>
  <si>
    <t>The Invesco Developing Markets Fund is a mutual fund that seeks capital appreciation by investing primarily in equity securities of companies located or active in emerging and developing markets. The fund employs a highly active investment approach, targeting companies with durable long-term growth prospects and sustainable competitive advantages. It aims to provide investors with exposure to compelling companies across emerging markets, focusing on those with innovative products or unique assets that may manifest over time.  The fund's investment strategy involves differentiated research, emphasizing businesses that may benefit from the evolution of emerging market industries. By maintaining a long-term investment horizon, the fund seeks to capture opportunities underappreciated by conventional wisdom. This approach is designed to identify companies with strong long-term financial performance and shareholder-friendly management teams.  With a consistent investment approach dating back to 1996, the Invesco Developing Markets Fund offers investors access to a compelling track record in emerging market investments. The fund's portfolio is diversified across various sectors and industries, reflecting the dynamic nature of developing markets. Its investment philosophy centers on identifying companies with sustainable competitive advantages and innovative growth potential, aiming to deliver strong capital growth over the long term.</t>
  </si>
  <si>
    <t>Financial Services, Technology, Healthcare, Energy, Industrials, Real Estate, Materials, Telecommunications, Utilities, Consumer Services, Information Technology, Consumer Staples, Basic Materials, Financials, Consumer Discretionary</t>
  </si>
  <si>
    <t>China, India, Brazil, Mexico, Indonesia, South Korea, Egypt, Turkey, Pakistan, Bangladesh, South Africa, Russia, Vietnam, Malaysia, Philippines, Thailand, Nigeria, Chile, Argentina, Taiwan</t>
  </si>
  <si>
    <t>Minimum initial investment: $1,000, Minimum subsequent investment: $50, Expense ratio: 2.03% for Class C shares, Expense ratio: 1.53% for Class R shares, Expense ratio: 0.95% for Class R5 shares, Expense ratio: 2.03% for Class R6 shares</t>
  </si>
  <si>
    <t>Taiwan Semiconductor Manufacturing Company, Tencent Holdings, Samsung Electronics, HDFC Bank, AIA Group, Alibaba Group, Vale, JD.com, Huazhu Group, Anglo American</t>
  </si>
  <si>
    <t>Eden Impact</t>
  </si>
  <si>
    <t>77 Robinson Road, #20-01 Robinson 77, Singapore, Singapore 068896</t>
  </si>
  <si>
    <t>https://edenimpact.sg</t>
  </si>
  <si>
    <t>9764 4912</t>
  </si>
  <si>
    <t>Eden Impact is a private family office fund based in Singapore, dedicated to investing in companies that champion sustainable and environmentally friendly practices. The firm collaborates with like-minded investors to support future-forward companies committed to social and environmental progress, contributing to a circular and regenerative economy. Guided by the belief that business can—and should—be a force for good in the world, Eden Impact carefully selects investments to drive significant positive change and enhance the welfare of the planet and its people. The firm's current focus includes pioneering projects across the Asia Pacific regions that tackle pressing issues like waste management and pollution, as well as supporting global initiatives to advance the dialogue and practice of sustainable business worldwide. Eden Impact's investment strategy encompasses direct investments and partnerships that address social and ecological challenges, allocating capital to advance responsible business practices and long-term value creation in alignment with its family's philanthropic and investment objectives. The firm's portfolio spans various sectors, including technology, healthcare, renewable energy, agriculture, education, water and sanitation, affordable housing, financial services, transportation, waste management, consumer goods, media and entertainment, telecommunications, tourism, and retail. Eden Impact's investments target companies at various stages, from seed to growth, with investment sizes ranging from $1 million to $10 million. The firm's geographical focus includes Singapore, Malaysia, Indonesia, Thailand, Vietnam, the Philippines, Australia, New Zealand, Japan, South Korea, China, India, Bangladesh, Pakistan, Sri Lanka, Nepal, Bhutan, the Maldives, Myanmar, and Laos. By partnering with visionary entrepreneurs and organizations, Eden Impact aims to create lasting value and drive positive change across the Asia Pacific region and beyond.</t>
  </si>
  <si>
    <t>Financial Services, Technology, Healthcare, Consumer Goods, Telecommunications, Retail, Education, Renewable Energy, Agriculture, Transportation, Tourism, Media and Entertainment, Waste Management, Affordable Housing, Water and Sanitation</t>
  </si>
  <si>
    <t>Japan, Australia, Singapore, China, India, Indonesia, South Korea, Pakistan, Bangladesh, Vietnam, Malaysia, New Zealand, Philippines, Thailand, Maldives, Sri Lanka, Nepal, Bhutan, Myanmar, Laos</t>
  </si>
  <si>
    <t>Companies with a clear commitment to sustainability and environmental impact, Innovative solutions addressing social and ecological challenges, Alignment with Eden Impact's philanthropic and investment objectives, Potential for long-term value creation, Scalable business models with measurable impact, Strong management teams with a track record of success, Clear exit strategies for investors, Compliance with local regulations and standards, Commitment to transparency and reporting, Ability to demonstrate positive social and environmental outcomes</t>
  </si>
  <si>
    <t>Eden Innovations, Eden Global Impact Group, Eden Global Partners, Eden Multifamily, Eden Geopower</t>
  </si>
  <si>
    <t>Intellecap</t>
  </si>
  <si>
    <t>Techniplex II IT Park, 13A, 6 Floor, Off Veer Savarkar Flyover, Goregaon West, Mumbai, Maharashtra 400062</t>
  </si>
  <si>
    <t>https://www.intellecap.com/</t>
  </si>
  <si>
    <t>https://www.linkedin.com/company/intellecap</t>
  </si>
  <si>
    <t>connect@intellecap.com</t>
  </si>
  <si>
    <t>022-61952700</t>
  </si>
  <si>
    <t>Intellecap is an impact advisory firm that collaborates with businesses, governments, and investors to create sustainable and inclusive markets. Their mission is to build businesses that benefit underserved segments across Asia and Africa, focusing on sectors such as agriculture, livelihoods, climate change, clean energy, financial services, gender and inclusion, healthcare, and water and sanitation. Intellecap has delivered over 700 global engagements across 50+ countries and syndicated investments of over $500 million USD in capital.  As the advisory arm of the Aavishkaar Group, Intellecap leverages its expertise to provide innovative solutions that build enabling ecosystems and channel capital toward creating a more sustainable and equitable society. Their work includes implementing projects like the Scaling Passive Affordable Cooling for Environmental Sustainability in India, aiming to combat heat stress and increase incomes for micro-entrepreneurs and individuals living below a living income in emerging markets. Intellecap's approach emphasizes the importance of a gender lens in climate-smart businesses to achieve economic sustainability and positive climate impact.  Intellecap's portfolio includes a diverse range of companies across various industries, reflecting their commitment to fostering inclusive growth and addressing social and environmental challenges. Their investment strategy spans multiple stages, from seed to late-stage investments, with a focus on ESG and impact investing, private equity, and venture capital. With a geographical focus on countries in Asia and Africa, Intellecap continues to play a pivotal role in shaping markets that work for the underserved, driving positive change through strategic investments and advisory services.</t>
  </si>
  <si>
    <t>Financial Services, Technology, Healthcare, Infrastructure, Media, Retail, Education, Agriculture, Transportation, Manufacturing, Clean Energy, Climate Change, Water and Sanitation, Livelihoods, Gender &amp; Inclusion</t>
  </si>
  <si>
    <t>India, Mexico, Indonesia, Ghana, Kenya, Pakistan, Bangladesh, South Africa, Afghanistan, Ethiopia, Nigeria, Rwanda, Zambia, Uganda, Tanzania, Sri Lanka, Nepal, Senegal, Mozambique, Malawi</t>
  </si>
  <si>
    <t>Focus on social and environmental impact, Alignment with Intellecap's mission and values, Scalable and sustainable business models, Strong management teams, Potential for financial returns alongside impact</t>
  </si>
  <si>
    <t>Ketto, Aavishkaar Capital, Sankalp Forum, Better Sanitation Collective, Fluid Robotics, ICTforAg, MasterG, Twirl Store, AFEX, NRMC Center for Land Governance, RMIT University, P&amp;G, Toilet Board Coalition, Gates Foundation, Jhepiego, Palo Alto Networks, Aavishkaar Group, Shell Foundation, Trane Technologies, Rockefeller Foundation</t>
  </si>
  <si>
    <t>Calypso Global Investment Fund</t>
  </si>
  <si>
    <t>8th Floor, Ebene Tower, 52 Cybercity, Ebene</t>
  </si>
  <si>
    <t>Plaines Wilhems</t>
  </si>
  <si>
    <t>https://www.calypso-gif.com/</t>
  </si>
  <si>
    <t>backoffice.funds@protonmail.com</t>
  </si>
  <si>
    <t>Calypso Global Investment Fund is a hedge fund that specializes in equity, derivatives, and debt investments across both emerging and non-emerging markets. The fund leverages a network to provide efficient investment opportunities, assessing macroeconomic trends and utilizing arbitrage strategies to enhance returns. It operates under a Category 1 Global Business License issued by the Mauritius Financial Services Commission, qualifying as an expert fund under the Securities Act 2005.  The fund's investment strategy focuses on preserving wealth by delivering high-end portfolios through thorough research and analysis. It invests primarily in equity, derivatives, and debt in emerging and non-emerging markets, aiming to build strong investment portfolios by utilizing talent and expertise. The fund also undertakes arbitrage activities as deemed fit by the Investment Committee, providing superior investment opportunities by integrating technology, innovation, and experience.  Calypso Global Investment Fund's mission is to create functional portfolios for investors ready for the next step in their journey to greater growth. It aims to provide breakthrough investment options by synergizing technology, innovation, and experience, delivering sophisticated investment opportunities tailored to individual needs. The fund's vision is to create functional portfolios for investors who are ready for the next step in their journey to greater growth.  Investment in the fund is available to persons meeting the criteria of an 'Expert Investor' as defined under the Securities (Collective Investment Schemes and Closed-End Funds) Regulations 2008 of Mauritius. The fund's contact information includes an email address at backoffice.funds@protonmail.com and an address at 8th Floor, Ebene Tower, 52 Cybercity, Ebene, Mauritius. The fund was incorporated in 2019 and holds an ISIN of MU0654S00006 and a SEBI Cat-I FPI Licence number of INMUFP063819.</t>
  </si>
  <si>
    <t>Pre-IPO, Post-IPO</t>
  </si>
  <si>
    <t>Equity, Derivatives, Debt</t>
  </si>
  <si>
    <t>Financial Services, Technology, Healthcare, Energy, Consumer Goods, Industrials, Real Estate, Materials, Telecommunications, Utilities, Media, Retail, Transportation, Pharmaceuticals, Consumer Services, Biotechnology, Food &amp; Beverage, Basic Materials, Consumer Non-Durables, Consumer Durables</t>
  </si>
  <si>
    <t>United States, China, India, Brazil, Mexico, Indonesia, South Korea, Egypt, Turkey, Pakistan, Bangladesh, South Africa, Russia, Vietnam, Philippines, Thailand, Nigeria, Argentina, Colombia, Mauritius</t>
  </si>
  <si>
    <t>Crevisse Partners</t>
  </si>
  <si>
    <t>4F, Novel Building, 88, Wangsimni-ro, Seongdong-gu, Seoul, Korea</t>
  </si>
  <si>
    <t>https://www.crevisse.com/</t>
  </si>
  <si>
    <t>https://www.linkedin.com/company/crevisse</t>
  </si>
  <si>
    <t>info@crevisse.com</t>
  </si>
  <si>
    <t>+82 2-569-2431</t>
  </si>
  <si>
    <t>Crevisse Partners is a South Korea-based private investment firm specializing in early-stage impact investments across Asia. The firm focuses on sectors such as technology, healthcare, education, agriculture, renewable energy, and financial services, aiming to drive sustainable innovation and create future value through its investments.    Established in 2004, Crevisse Partners operates with a commitment to fostering sustainable innovation and creating future value through its investments. The firm's strategy involves identifying and nurturing impact champions, providing capital, and actively participating in the management of portfolio companies to ensure their growth and success.    With a track record of successful investments, Crevisse Partners has demonstrated its ability to generate both financial returns and positive social impact. The firm's philosophy centers on the belief that good alone is not enough; better together, emphasizing collaboration and shared responsibility in achieving impactful outcomes.</t>
  </si>
  <si>
    <t>Financial Services, Technology, Healthcare, Consumer Goods, Real Estate, Infrastructure, Telecommunications, Media, Education, Renewable Energy, Agriculture, Logistics, Transportation, Hospitality, Manufacturing</t>
  </si>
  <si>
    <t>Focus on sustainable and innovative business models, Alignment with Crevisse Partners' impact objectives, Potential for scalability and growth, Strong management teams with a clear vision, Commitment to social and environmental responsibility</t>
  </si>
  <si>
    <t>Remake City, Crevisse Ventures, Crevisse Impact Engagement No. 1, Crevisse Impact Engagement No. 2, Crevisse Impact Engagement No. 3</t>
  </si>
  <si>
    <t>Almoayed General W.L.L.</t>
  </si>
  <si>
    <t>Almoayed House, Office 21, Building 2332, Road 2830, Manama 428</t>
  </si>
  <si>
    <t>https://almoayed.bh/</t>
  </si>
  <si>
    <t>https://www.linkedin.com/company/almoayed-group</t>
  </si>
  <si>
    <t>info@ag.bh</t>
  </si>
  <si>
    <t>+973 17171616</t>
  </si>
  <si>
    <t>Almoayed General W.L.L. is a diversified family-owned investment firm based in Bahrain, focusing on various sectors including technology, retail, and real estate. The firm operates through its subsidiaries, such as Almoayed Ventures, which specializes in venture capital and private equity investments. Almoayed Ventures partners with investment professionals to support and scale innovative businesses, making direct investments and supporting entrepreneurs throughout their journey. The firm's investment approach emphasizes building long-term relationships and analyzing each opportunity individually to ensure long-term returns. Almoayed General aspires to be an employer of choice and a responsible corporate citizen, reflecting its commitment to family values and community engagement. The firm's diverse portfolio spans multiple industries, including technology, retail, food and beverage, consumer products, logistics, and real estate, demonstrating its broad investment focus and strategic approach to growth and development.</t>
  </si>
  <si>
    <t>Private Equity, Venture Capital, Real Estate, Technology, Retail, Food and Beverage, Logistics, Consumer Products</t>
  </si>
  <si>
    <t>Technology, Healthcare, Real Estate, Telecommunications, Retail, Software, Education, Consumer Products, Logistics, Food and Beverage, Hospitality, Construction, Manufacturing, Information Technology, Security Systems</t>
  </si>
  <si>
    <t>United States, United Kingdom, Canada, Australia, Singapore, India, United Arab Emirates, Kenya, Saudi Arabia, Qatar, Kuwait, Oman, Egypt, Lebanon, Bahrain, Pakistan, Jordan, Iraq, South Africa, Malaysia</t>
  </si>
  <si>
    <t>e-finance for Digital and Financial Investments S.A.E.</t>
  </si>
  <si>
    <t>Building No. A3B 82 Smart Village, Km 28 Cairo-Alexandria Desert Road, Giza</t>
  </si>
  <si>
    <t>https://www.efinanceinvestment.com</t>
  </si>
  <si>
    <t>https://www.linkedin.com/company/e-finance</t>
  </si>
  <si>
    <t>ir@efinance.com.eg</t>
  </si>
  <si>
    <t>+20 02 3827 1113</t>
  </si>
  <si>
    <t>Established in 2005, e-finance for Digital and Financial Investments S.A.E. is a prominent Egyptian private investment firm specializing in digital and financial investments. The firm focuses on developing and managing digital payment infrastructures, aiming to enhance Egypt's digital economy and promote financial inclusion. Through its subsidiaries, e-finance offers a range of services, including e-payment solutions, cloud computing, and digital financial services, catering to both government and private sectors.    The firm's investment strategy encompasses various asset classes, such as venture capital, private equity, infrastructure, real estate, commodities, crypto, hedge funds, fixed income, collectibles, distressed assets, and ESG and impact investing. e-finance targets multiple stages of investment, including seed, early stage, series A and B, growth, late stage, pre-IPO, buyout, turnaround, and distressed situations. Geographically, the firm focuses on Egypt and has expanded its reach to countries like Saudi Arabia, the United Arab Emirates, Pakistan, Libya, Sudan, Uganda, Botswana, Ghana, Ivory Coast, Senegal, Mali, Benin, Togo, and Cameroon.    e-finance's portfolio includes investments in various sectors, reflecting its diverse investment approach. The firm has been involved in strategic acquisitions, such as acquiring a 25% stake in Al Ahly Momkn and a 13% stake in EasyCash for digital payments, aiming to enhance and streamline digital services for companies in the payment and collection sector. Additionally, e-finance has partnered with Software Group to promote financial inclusion in Egypt through digital and agency banking solutions, aligning with the Central Bank of Egypt's strategy for financial inclusion and national economic development under the 2030 Vision.    In August 2023, e-finance announced plans to launch a digital bank targeting individuals lacking access to traditional financial services, aiming to incorporate a substantial portion of Egypt's unbanked population into the formal financial system. This initiative aligns with the Central Bank of Egypt's financial inclusion strategy and seeks to elevate the Egyptian economy. The firm is also exploring investment opportunities in Saudi Arabia in coordination with the Public Investment Fund (PIF) and plans to launch an office in the kingdom in the coming months.    Overall, e-finance for Digital and Financial Investments S.A.E. plays a pivotal role in Egypt's digital transformation, leveraging its diverse investment portfolio and strategic partnerships to drive financial inclusion and economic development across the region.</t>
  </si>
  <si>
    <t>Venture Capital, Private Equity, Infrastructure, Real Estate, Commodities, Crypto, Hedge Funds, Fixed Income (Debt and Bonds), Collectibles &amp; Art, Distressed and Special Situations, ESG and Impact Investing</t>
  </si>
  <si>
    <t>Financial Services, Technology, Real Estate, Infrastructure, Crypto, Hedge Funds, Commodities, ESG and Impact Investing, Fixed Income (Debt and Bonds), Distressed and Special Situations, Collectibles &amp; Art</t>
  </si>
  <si>
    <t>Focus on digital and financial sectors, Targeting multiple investment stages, Geographical focus on Egypt and select international markets, Interest in diverse asset classes including venture capital, private equity, infrastructure, real estate, commodities, crypto, hedge funds, fixed income, collectibles, distressed assets, and ESG and impact investing</t>
  </si>
  <si>
    <t>Al Ahly Momkn, EasyCash, Meeza, Paysky</t>
  </si>
  <si>
    <t>Ansonia Holdings Singapore B.V.</t>
  </si>
  <si>
    <t>1 Temasek Avenue #37-02A Millenia Tower Singapore</t>
  </si>
  <si>
    <t>https://www.ansoniaholdings.com</t>
  </si>
  <si>
    <t>info@ansoniaholdings.com</t>
  </si>
  <si>
    <t>+65 202-371-7489</t>
  </si>
  <si>
    <t>Ansonia Holdings Singapore B.V. is a diversified investment firm headquartered in Singapore, focusing on both high-potential, primarily growth-oriented companies and matured value businesses. Their investment portfolio ranges from startups at the development stage to established cash-generating businesses.    The firm employs a flexible investment strategy, engaging in private equity and venture capital investments across various stages, including early stage, growth, and late stage. They have a broad geographical focus, investing in countries such as Singapore, the United States, the United Kingdom, Australia, China, India, Indonesia, Malaysia, Thailand, Vietnam, the Philippines, South Korea, Japan, Hong Kong, Taiwan, New Zealand, Pakistan, Bangladesh, Sri Lanka, and Nepal.    Ansonia Holdings has a diverse industry focus, including technology, healthcare, consumer goods, financial services, energy, real estate, media, telecommunications, education, transportation, logistics, agriculture, manufacturing, retail, and hospitality. They typically invest between $5 million and $50 million in each portfolio company, aiming to support businesses with significant growth potential and established value propositions.</t>
  </si>
  <si>
    <t>United States, United Kingdom, Hong Kong, Japan, Australia, Singapore, China, India, Indonesia, South Korea, Pakistan, Bangladesh, Vietnam, Malaysia, New Zealand, Philippines, Thailand, Taiwan, Sri Lanka, Nepal</t>
  </si>
  <si>
    <t>Strong management team, Scalable business model, Clear path to profitability, Competitive market position, Alignment with Ansonia's strategic focus areas</t>
  </si>
  <si>
    <t>Al Surooh Investment</t>
  </si>
  <si>
    <t>Muscat, Oman</t>
  </si>
  <si>
    <t>https://alsarooh.com</t>
  </si>
  <si>
    <t>info@alsarooh.com</t>
  </si>
  <si>
    <t>+966 50 645 0725</t>
  </si>
  <si>
    <t>Al Surooh Investment is a prominent private investment firm headquartered in Muscat, Oman. The firm specializes in a wide array of sectors, notably telecommunications, real estate, and infrastructure, aiming to drive economic growth and development within the region. Their strategic investments are designed to foster innovation and contribute to the advancement of Oman's economy.  The firm's investment approach is characterized by a commitment to supporting projects that offer substantial returns and align with their long-term objectives. Al Surooh Investment actively seeks opportunities in emerging markets and sectors, demonstrating a keen interest in ventures that promise sustainable growth and value creation. Their portfolio reflects a diverse range of industries, underscoring their adaptability and strategic foresight.  Al Surooh Investment's philosophy centers on building strong partnerships and delivering value to stakeholders. By leveraging their extensive network and market insights, they aim to identify and capitalize on investment opportunities that not only yield financial returns but also contribute positively to the communities and economies they engage with. Their proactive and dynamic approach positions them as a key player in the investment landscape of the Middle East region.</t>
  </si>
  <si>
    <t>Telecommunications, Real Estate, Infrastructure, Technology, Healthcare, Education, Consumer Goods, Financial Services, Energy, Hospitality, Retail, Transportation, Agriculture, Media, Entertainment, Construction, Logistics, Pharmaceuticals, Automotive, Chemicals</t>
  </si>
  <si>
    <t>Financial Services, Technology, Healthcare, Energy, Consumer Goods, Real Estate, Infrastructure, Telecommunications, Media, Automotive, Retail, Education, Agriculture, Logistics, Transportation, Hospitality, Construction, Pharmaceuticals, Entertainment, Chemicals</t>
  </si>
  <si>
    <t>Strong management team, Scalable business model, Clear exit strategy, Alignment with Al Surooh Investment's strategic objectives, Potential for significant market impact, Sustainable competitive advantage, Demonstrated financial performance, Compliance with regulatory standards, Commitment to corporate governance, Ability to generate positive social and economic impact</t>
  </si>
  <si>
    <t>Oman Tower Company, Al Shurooq Housing Complexes, Surooh Al-Kubra Construction Company, Surooh Investments and Projects Company, Al-Sarooj Group</t>
  </si>
  <si>
    <t>Oman &amp; Emirates Investment Holding Company SAOG</t>
  </si>
  <si>
    <t>P.O. Box 2205, Ruwi, Postal Code 112, Muscat</t>
  </si>
  <si>
    <t>https://omanandemirats.com/</t>
  </si>
  <si>
    <t>info@omanandemirats.com</t>
  </si>
  <si>
    <t>+968 2 4489458</t>
  </si>
  <si>
    <t>Established in 1993 through a Royal Decree, Oman &amp; Emirates Investment Holding Company SAOG (O&amp;E) is a joint venture between the governments of the Sultanate of Oman and the United Arab Emirates, along with other local founding shareholders from both countries. The company is registered as an Omani Joint Stock Company and is traded on the Muscat, Abu Dhabi, and Dubai Securities Markets. O&amp;E operates with the privileges extended to companies fully owned by nationals of Oman or the UAE.  O&amp;E offers a comprehensive range of financial solutions designed to facilitate business growth and enhance trade capacity for both private and public entities across various sectors. The company leverages its team's extensive local experience and insights to deliver investment solutions that generate sustainable opportunities for growth and value for its clients and stakeholders. Its diversified portfolio includes investments in equities, fixed income, real estate, alternative investments, and capital markets.  With a strategic focus on enhancing value for stakeholders, O&amp;E aims to become a leading investment group with diversified revenue streams. The company actively seeks new strategic and financial investments in different sectors and geographies to mitigate regional economic downturns and geopolitical risks, ensuring sustainable growth and development. Its investments span multiple industries, including financial services, real estate, healthcare, manufacturing, agriculture, tourism, services, telecom, food processing, insurance, education, fiber optics, energy, infrastructure, and technology.  O&amp;E's commitment to its clients is underscored by its partnerships with world-leading asset managers to offer co-branded investment products. The company's government ownership enables it to tap into an extensive global network across governments, business leaders, and regulators, providing clients with unique access to high-growth opportunities in target markets that are not available elsewhere.  The company's board of directors includes Mohamed Abdulla Mohamed Al Khonji as Chairman, Dr. Abdullah Masoud Humaid Al Harthy as Vice-Chairman, and other members such as Khalid Masud Ansari, Majid Akbar Qamarudeen, and Abdul Aziz Masoud Humaid Al Harthy. The executive management team is led by Acting Chief Executive Officer Raffy Manoug Kozadjian and Financial Controller Shah Abbas Jaffer Rizvi. O&amp;E's registered office is located at P.O. Box 2205, Ruwi, Postal Code 112, Muscat, Sultanate of Oman. The company is audited by BDO LLC, with offices in Muscat, Sultanate of Oman.</t>
  </si>
  <si>
    <t>Equities, Fixed Income, Real Estate, Alternative Investments, Capital Markets</t>
  </si>
  <si>
    <t>Financial Services, Technology, Healthcare, Energy, Real Estate, Infrastructure, Insurance, Education, Agriculture, Manufacturing, Tourism, Services, Telecom, Food Processing, Fiber Optics</t>
  </si>
  <si>
    <t>United States, United Kingdom, Germany, Australia, India, France, United Arab Emirates, Switzerland, South Korea, Saudi Arabia, Qatar, Kuwait, Oman, Egypt, Lebanon, Bahrain, Turkey, Pakistan, Jordan, Iraq</t>
  </si>
  <si>
    <t>Rowan Brewer</t>
  </si>
  <si>
    <t>Angel Investor</t>
  </si>
  <si>
    <t>41 Lothbury, London</t>
  </si>
  <si>
    <t>https://www.paymentology.com</t>
  </si>
  <si>
    <t>legal@paymentology.com</t>
  </si>
  <si>
    <t>011 803 3118</t>
  </si>
  <si>
    <t xml:space="preserve">An established angel investor and founder of Paymentology, specializing in technology investments.    Paymentology is a global issuer-processor that provides advanced, multi-cloud payment solutions to financial institutions. The company was formed in 2021 through the merger of Tutuka and Paymentology UK, combining expertise from South Africa and the UK to offer innovative payment processing services worldwide.    Under Rowan Brewer's leadership, Paymentology has expanded its global presence, serving clients in over 50 countries and processing more than a billion transactions. The company's platform enables banks and fintechs to deliver secure, adaptable payment experiences, contributing to the advancement of financial inclusion globally.    </t>
  </si>
  <si>
    <t>Financial Services, Technology, Telecommunications, Retail Banking, FinTech, Cryptocurrency, Blockchain, Security, Payments, Software Development, Mobile Banking, Data Management, Compliance, Web Development, Mobile Payments, Entrepreneurship, Integration, Online Banking, Fraud Management</t>
  </si>
  <si>
    <t>United States, United Kingdom, Brazil, France, United Arab Emirates, Mexico, South Korea, Saudi Arabia, Tunisia, Turkey, Pakistan, South Africa, Hungary, Israel, Nigeria, Colombia, Peru, El Salvador, Dominican Republic, Costa Rica</t>
  </si>
  <si>
    <t>Tutuka, Paymentology UK</t>
  </si>
  <si>
    <t>Fernando Campos</t>
  </si>
  <si>
    <t>33 SW 2 Ave Ste 501, Miami, FL 33130</t>
  </si>
  <si>
    <t>https://sunrisepadelcapital.com</t>
  </si>
  <si>
    <t>https://www.linkedin.com</t>
  </si>
  <si>
    <t>info@sunrisepadelcapital.com</t>
  </si>
  <si>
    <t xml:space="preserve">An angel investor based in Miami, Florida, Fernando Campos has a diverse investment portfolio spanning multiple sectors and countries. His focus areas include cloud gaming, e-commerce, gaming software, and location-based services, among others. He has invested in companies such as Hotelli, Listus, EasyFood, ZOZI, PortalAbsoluta, Pipefy, Mark One, Nuuvemcom, O HolandS, Rappi, Graava, bxblue, Alboom, uBeam, and Remarcados. His investments have extended to regions including the United States, Brazil, Mexico, Argentina, Colombia, Peru, Chile, India, Indonesia, Japan, Pakistan, Singapore, Thailand, Malaysia, Philippines, Canada, Israel, Italy, the United Kingdom, Australia, and New Zealand.    Fernando's investment strategy encompasses seed, early-stage, and growth stages, with a focus on venture capital and private equity. He has demonstrated a commitment to supporting startups in the cloud gaming, e-commerce, and gaming software industries, among others. His approach involves identifying and nurturing innovative companies with high growth potential across diverse geographical regions.    While specific details about his investment philosophy are not publicly disclosed, Fernando's extensive portfolio reflects a strategic interest in sectors poised for significant growth and innovation. His investments suggest a preference for companies that leverage technology to disrupt traditional markets and create new opportunities.    </t>
  </si>
  <si>
    <t>Software, E-commerce, Internet, Consumer Internet, Mobile, Social Media, Location Based Services, E-Commerce Platforms, Social Commerce, Online Gaming, Cloud Gaming, Productivity Software, PC Gaming, Geolocation Tech, Gaming Software, Web Presence Management</t>
  </si>
  <si>
    <t>United States, United Kingdom, Canada, Japan, Australia, Singapore, India, Brazil, Italy, Mexico, Indonesia, Pakistan, Malaysia, New Zealand, Philippines, Israel, Thailand, Chile, Argentina, Colombia, Peru</t>
  </si>
  <si>
    <t>Hotelli, Listus, EasyFood, ZOZI, PortalAbsoluta, Pipefy, Mark One, Nuuvemcom, O HolandS, Rappi, Graava, bxblue, Alboom, uBeam, Remarcados</t>
  </si>
  <si>
    <t>Loyal VC</t>
  </si>
  <si>
    <t>103 Cottingham Street, Toronto, Ontario, Canada</t>
  </si>
  <si>
    <t>https://www.loyal.vc/</t>
  </si>
  <si>
    <t>invest@loyal.vc</t>
  </si>
  <si>
    <t>416-925-5557</t>
  </si>
  <si>
    <t>Loyal VC is a diversified evergreen venture fund established in 2018, headquartered in Toronto, Ontario, Canada. The firm offers accredited investors the flexibility to buy or sell units quarterly, providing access to a global portfolio of early-stage investments. Loyal VC focuses on top founders from three global networks: INSEAD, the Founder Institute, and a community of over 200 investors. Since its inception, the firm has invested in more than 400 companies across 70 countries, supporting them with a network of over 1,000 advisors.  The firm's investment strategy emphasizes a collaborative, staged investment process, aiming to minimize systemic bias and unlock greater returns. Loyal VC's portfolio spans various sectors, including FinTech, Food and Beverage, Enterprise Software, Education, Real Estate, Marketing, Gaming, Security, Health, Energy, Kids, Home Living, Sports, and Media. The firm is actively seeking new investments in early and later stages, with a typical investment size ranging from $100,000 to $500,000.  Loyal VC's commitment to diversity is evident, with over 30% of its portfolio companies having women CEOs and nearly 30% originating from emerging markets. Approximately 80% of the portfolio addresses one or more of the United Nations Sustainable Development Goals. The firm's approach is designed to reduce risk and illiquidity, offering investors a diversified portfolio with the flexibility to manage their investments effectively.</t>
  </si>
  <si>
    <t>Energy, Real Estate, Media, Education, FinTech, Gaming, Health, Food and Beverage, Enterprise Software, Sports, Security, Marketing, Home Living, Kids</t>
  </si>
  <si>
    <t>United States, United Kingdom, Canada, Germany, Hong Kong, Australia, Singapore, China, India, Italy, Switzerland, Egypt, Pakistan, Netherlands, Philippines, Israel, Nigeria, Norway, Bulgaria, Taiwan</t>
  </si>
  <si>
    <t>Accredited investors</t>
  </si>
  <si>
    <t>GoFloaters, Peerby, SimpleMarket Inc., MyTM, Ambr</t>
  </si>
  <si>
    <t>Honda Strategic Venturing</t>
  </si>
  <si>
    <t>800 California Street, Mountain View, California, 94041, United States</t>
  </si>
  <si>
    <t>https://xcelerator.hondainnovations.com/</t>
  </si>
  <si>
    <t>Xcelerator@hondainnovations.com</t>
  </si>
  <si>
    <t>Honda Strategic Venturing, also known as Honda Xcelerator Ventures, is the corporate venture capital arm of Honda Motor Co., Ltd., dedicated to fostering open innovation and strategic partnerships with startups worldwide. The program aims to accelerate the development of technologies and business models that align with Honda's long-term research and development strategies, particularly in areas such as carbon neutrality, electrification, and advanced mobility solutions. By engaging with innovators across various stages, Honda seeks to create new value and address social issues through unique technologies.  The venture arm operates globally, with a presence in North America, Europe, Israel, Japan, and Southeast Asia. It offers a range of support to startups, including direct investment, strategic partnerships, co-development, and prototyping. The focus areas are intentionally broad, encompassing energy innovations, electrification, new fuels, resource circulation, and various mobility sectors such as land, air, sea, and space. Additionally, Honda Strategic Venturing emphasizes advancements in robotics, manufacturing efficiency, quality optimization, and safety, as well as artificial intelligence and automation technologies.  Through its strategic investments and collaborations, Honda Strategic Venturing aims to realize Honda's goal of carbon neutrality and zero fatalities involving Honda vehicles by 2050. The program has made several investments in innovative companies, including a notable investment in Helm.ai's Series B funding round in January 2022. By supporting promising startups, Honda seeks to drive technological advancements and business transformations that contribute to a sustainable and innovative future in mobility and related industries.</t>
  </si>
  <si>
    <t>Technology, Energy, Automotive, Manufacturing, Robotics, Mobility, Automation, Electrification, A.I., Air Mobility, New Fuels, Resource Circulation, Land Mobility, Sea Mobility, Space Mobility, Transports, Telepresence</t>
  </si>
  <si>
    <t>United States, United Kingdom, Canada, Germany, Japan, Australia, China, India, Brazil, France, Italy, Spain, Mexico, South Korea, Pakistan, Netherlands, South Africa, Russia, Israel, Argentina</t>
  </si>
  <si>
    <t>Innovative technologies and business models aligned with Honda's strategic focus areas, Potential for strategic synergy with Honda's long-term R&amp;D strategy, Commitment to addressing social issues and creating new value through unique technologies</t>
  </si>
  <si>
    <t>Helm.ai</t>
  </si>
  <si>
    <t>Jonathan Siegel</t>
  </si>
  <si>
    <t>https://500.co/</t>
  </si>
  <si>
    <t>Twilio, Credit Karma, Grab, Udemy, Talkdesk, Intercom, GitLab, Ipsy, Viki, Shippo, Bukalapak, Aircall, MakerBot, Wildfire, SendGrid, Carousell, Kudo, RidePal, Visual.ly, Cucumbertown</t>
  </si>
  <si>
    <t>A15 Venture Capital</t>
  </si>
  <si>
    <t>1 El Gabalaya Street, Al Gabalayah, Zamalek, Floor 6, Cairo</t>
  </si>
  <si>
    <t>+(202) 2529 5800</t>
  </si>
  <si>
    <t>A15 Venture Capital is a venture capital firm that invests in early-stage technology companies across the Middle East and North Africa, with a particular focus on Egypt. The firm adopts a founder-first approach, typically investing in pre-seed and seed rounds to support startups in their formative stages. A15 is committed to empowering entrepreneurs by providing not only capital but also strategic guidance and operational support to help them scale their businesses effectively.    The firm's investment strategy encompasses a wide range of sectors, including technology, digital products, innovation, FinTech, and healthcare services. A15's geographical focus spans several countries in the MENA region, including Egypt, Algeria, Morocco, Tunisia, Saudi Arabia, Jordan, Yemen, Palestine, Pakistan, Bangladesh, Italy, Canada, Qatar, United Arab Emirates, Sudan, Lebanon, Kuwait, Bahrain, Oman, and Iraq. This extensive reach allows A15 to tap into diverse markets and identify high-potential startups across the region.    A15's portfolio includes a variety of early-stage companies that have demonstrated significant growth and innovation. The firm has a track record of successful investments, with several portfolio companies achieving notable milestones and contributing to the firm's reputation as a key player in the MENA venture capital landscape. A15's approach emphasizes a deep operational involvement with its portfolio companies, assisting them in areas such as leadership recruitment, product-market fit refinement, governance implementation, and business development. This hands-on support has been instrumental in helping startups scale efficiently and expand into new markets with greater speed, resulting in improved capital efficiency compared to regional averages.</t>
  </si>
  <si>
    <t>Technology, FinTech, Healthcare Services, Innovation, Digital Products</t>
  </si>
  <si>
    <t>Canada, Italy, United Arab Emirates, Saudi Arabia, Qatar, Kuwait, Oman, Egypt, Tunisia, Morocco, Algeria, Lebanon, Bahrain, Pakistan, Jordan, Bangladesh, Iraq, Palestine, Sudan, Yemen</t>
  </si>
  <si>
    <t>Early-stage technology companies, Innovative business models, Scalable growth potential, Strong founding teams</t>
  </si>
  <si>
    <t>TPAY Mobile, Connect Ads, Link Development, Paymob, Wuzzuf</t>
  </si>
  <si>
    <t>Founders Fund</t>
  </si>
  <si>
    <t>https://foundersfund.com/</t>
  </si>
  <si>
    <t>https://www.linkedin.com/company/the-founders-fund</t>
  </si>
  <si>
    <t>info@foundersfund.com</t>
  </si>
  <si>
    <t>+1 (415) 230-5800</t>
  </si>
  <si>
    <t xml:space="preserve">Founders Fund is a prominent venture capital firm based in San Francisco, California, known for its substantial investments in innovative companies across multiple sectors and stages. The firm has a diverse portfolio that includes technology, healthcare, energy, aerospace, defense, consumer products, financial services, media, transportation, education, retail, telecommunications, real estate, agriculture, and hospitality. Their investment approach spans from seed funding to late-stage investments, including pre-IPO, buyouts, turnarounds, and distressed assets.    The firm's geographical focus is extensive, encompassing countries such as the United States, China, India, Brazil, Indonesia, Mexico, Russia, Turkey, South Korea, Japan, Vietnam, Nigeria, Egypt, Pakistan, Bangladesh, the Philippines, Thailand, Argentina, Colombia, and South Africa. This global reach reflects their commitment to supporting innovative companies worldwide.    Founders Fund's investment strategy is characterized by a rigorous selection process, focusing on companies with strong growth potential and the ability to disrupt existing markets. They provide not only capital but also strategic guidance to help portfolio companies scale and succeed in competitive industries. Their track record includes early investments in companies like SpaceX, Palantir Technologies, and Facebook, demonstrating their ability to identify and support transformative businesses.    </t>
  </si>
  <si>
    <t>Financial Services, Technology, Healthcare, Energy, Real Estate, Telecommunications, Media, Retail, Education, Agriculture, Consumer Products, Transportation, Aerospace, Hospitality, Defense</t>
  </si>
  <si>
    <t>United States, Japan, China, India, Brazil, Mexico, Indonesia, South Korea, Egypt, Turkey, Pakistan, Bangladesh, South Africa, Russia, Vietnam, Philippines, Thailand, Nigeria, Argentina, Colombia</t>
  </si>
  <si>
    <t>Innovative business models, Strong growth potential, Ability to disrupt existing markets, Experienced management teams, Scalable operations, Global market reach</t>
  </si>
  <si>
    <t>SpaceX, Palantir Technologies, Facebook, Asana, DoNotPay, Circles.Life, Prime Intellect, Moat, Resilience, Domo, Figma, Vicarious Systems, Niantic, Hadrian, Armada, OpenAI, Nominal, Quantum Systems, Hermeus, Akash Systems</t>
  </si>
  <si>
    <t>Xseed Partners</t>
  </si>
  <si>
    <t>Gachibowli, Hyderabad, Telangana 500032, India</t>
  </si>
  <si>
    <t>Telangana</t>
  </si>
  <si>
    <t>http://www.xseedpartners.com/</t>
  </si>
  <si>
    <t>https://www.linkedin.com/company/xseed-capital</t>
  </si>
  <si>
    <t>info@xseedpartners.com</t>
  </si>
  <si>
    <t>(650) 331-1230</t>
  </si>
  <si>
    <t>Xseed Partners is a prominent venture capital firm based in Hyderabad, India, focusing on early-stage investments in technology and financial services startups across India and Southeast Asia. The firm is dedicated to nurturing innovative companies that have the potential to become market leaders in their respective sectors. Xseed Partners offers a comprehensive suite of services, including startup mentoring, investment advisory, syndication, and consulting, to support entrepreneurs in scaling their businesses effectively.    The firm's investment strategy is centered on identifying high-potential startups in sectors such as technology, financial services, healthcare, consumer goods, education, media, telecommunications, logistics, energy, agriculture, real estate, retail, transportation, hospitality, and manufacturing. Xseed Partners typically invests between $1 million and $10 million, targeting companies at various stages of growth, from seed to late-stage funding. This approach enables the firm to provide tailored support to startups at different phases of their development.    Xseed Partners has a strong track record of successful investments, contributing to the growth and success of numerous startups in the region. The firm's experienced team leverages its extensive network and industry expertise to guide portfolio companies through the challenges of scaling and market expansion. By fostering a collaborative environment and offering strategic insights, Xseed Partners plays a pivotal role in transforming promising startups into industry leaders, thereby driving innovation and economic growth in India and Southeast Asia.</t>
  </si>
  <si>
    <t>Innovative business model, Scalable operations, Strong management team, Clear market differentiation, Potential for significant growth</t>
  </si>
  <si>
    <t>Ola, Swiggy, Razorpay, UrbanClap, Zerodha, BigBasket, Cure.fit, Unacademy, Meesho, Udaan, PhonePe, Byju's, Delhivery, Lenskart, Policybazaar, Dream11, OYO Rooms, Zomato, Freshworks, InMobi</t>
  </si>
  <si>
    <t>Genesis Alternative Ventures</t>
  </si>
  <si>
    <t>211 Henderson Rd. #10-03, Singapore</t>
  </si>
  <si>
    <t>https://www.genesisventures.co</t>
  </si>
  <si>
    <t>https://www.linkedin.com/company/genesisventures/</t>
  </si>
  <si>
    <t>+65 6553 8588</t>
  </si>
  <si>
    <t>Genesis Alternative Ventures is a Singapore-based private investment firm specializing in venture capital and private equity investments across Southeast Asia. The firm focuses on providing flexible financing solutions to high-growth startups, aiming to support their expansion and development. Genesis Alternative Ventures is committed to fostering innovation and entrepreneurship in the region by offering tailored financial support to emerging companies.  The firm's investment strategy centers on identifying and backing promising startups in sectors such as technology, cybersecurity, food delivery, flexible workspace, e-commerce, fintech, healthtech, edtech, logistics, media, entertainment, retail, consumer goods, agriculture, and education. Genesis Alternative Ventures typically invests in companies at seed, early, and growth stages, with investment sizes ranging from $1 million to $10 million. The firm has a strong presence in Southeast Asia, with a particular emphasis on markets including Singapore, Indonesia, Malaysia, Thailand, Vietnam, the Philippines, Myanmar, Laos, Cambodia, Brunei, Timor-Leste, Bangladesh, Sri Lanka, Pakistan, Nepal, the Maldives, Bhutan, Afghanistan, India, and China.  Genesis Alternative Ventures was co-founded by Martin Tang, who has extensive experience in investment banking and venture debt. Prior to establishing Genesis, Martin held positions at Lazard Singapore, Standard Chartered Bank, and DBS Bank, where he was instrumental in launching DBS Venture Growth Partners, a venture debt business targeting Southeast Asia. Under his leadership, Genesis Alternative Ventures has successfully backed several fast-growing companies in the region, including Singapore-based Horangi Cyber Security, online restaurant Grain, and Indonesian flexible workspace provider GoWork. The firm's approach emphasizes providing capital-efficient and less dilutive financing options to startups, enabling them to scale effectively while maintaining ownership control.</t>
  </si>
  <si>
    <t>Technology, Consumer Goods, Media, Retail, Education, Agriculture, HealthTech, EdTech, FinTech, E-commerce, Logistics, Entertainment, Cybersecurity, Food Delivery, Flexible Workspace</t>
  </si>
  <si>
    <t>The Hive Southeast Asia Fund I</t>
  </si>
  <si>
    <t>Suite 1-3, Level 1, Vertical Corporate Tower B Avenue 10, The Vertical, Bangsar South City, No.8, Jalan Kerinchi, 59200 Kuala Lumpur</t>
  </si>
  <si>
    <t>https://www.thehivesea.com/</t>
  </si>
  <si>
    <t>https://www.linkedin.com/company/the-hive-llc</t>
  </si>
  <si>
    <t>info@thehivesea.com</t>
  </si>
  <si>
    <t>(+60)3-2242 1713</t>
  </si>
  <si>
    <t>The Hive Southeast Asia Fund I is a collaborative venture capital fund managed by Tuas Capital Partners, The Hive, and the Sunway Group, focusing on early-stage investments in Southeast Asia. The fund primarily invests in the Co-Creation and Seed stages, providing startup launchpads and utilizing The Hive's Venture Studio model. In December 2020, the group received a Letter of Award from Penjana Kapital, selecting them as a venture capital fund manager under the Dana Penjana Nasional Programme, a government initiative aimed at accelerating Malaysia's economic recovery through digitalization and innovation.    The fund's strategy involves co-creating companies for enterprise digital transformation, driving resilient growth, agility, and sustainability. By collaborating with corporations and founders, The Hive Southeast Asia aims to propel startups through early stages of growth, mitigate technology risks, and enhance product-market fit. The fund focuses on sectors such as Smart Cities, Agri-foodtech, Edutech, Digital Health, and eCommerce, leveraging The Hive's expertise and deep ecosystem relationships in Silicon Valley to drive global collaboration in digital growth.    Through its partnership with the Sunway Group, particularly Sunway iLabs, The Hive Southeast Asia strengthens its alignment with the objectives of the Dana Penjana Nasional Programme. Sunway iLabs aims to foster entrepreneurship and stimulate market-driven innovations, enabling The Hive Southeast Asia to create transformative solutions in key verticals. The fund's proven Co-Creation and Venture Studio model, combined with local expertise and knowledge, seeks to enable Malaysian businesses to become more resilient post COVID-19 and to recover rapidly and grow sustainably.</t>
  </si>
  <si>
    <t>Early-stage startups in Southeast Asia, Focus on sectors such as Smart Cities, Agri-foodtech, Edutech, Digital Health, and eCommerce, Alignment with the objectives of the Dana Penjana Nasional Programme</t>
  </si>
  <si>
    <t>Money Match, Jirnexu, 4xLabs, The Luxe Nomad, Pulse iD</t>
  </si>
  <si>
    <t>Earth Venture Capital</t>
  </si>
  <si>
    <t>https://www.earth.vc/</t>
  </si>
  <si>
    <t>https://www.linkedin.com/company/earth-vc</t>
  </si>
  <si>
    <t>rebuild@earth.vc</t>
  </si>
  <si>
    <t>Earth Venture Capital is a global climate deep tech venture capital firm dedicated to investing in science-driven startups across Emerging Asia. The firm focuses on supporting teams that transform lab breakthroughs into scalable solutions addressing complex global challenges. By providing more than just capital, Earth Venture Capital offers networks, expertise, and resources to accelerate the growth of its portfolio companies.    The firm's investment strategy emphasizes sectors such as clean ironmaking, green hydrogen, nuclear breakthroughs, biotech, and quantum-accelerated AI. Earth Venture Capital seeks visionary founders, scientists, and researchers committed to reversing environmental damage and creating sustainable impact. The firm operates with a commitment to decarbonizing Emerging Asia, aiming to back the most brilliant minds working on innovative solutions.    With a focus on both financial returns and environmental resilience, Earth Venture Capital plays a pivotal role in advancing deep tech innovations that contribute to a sustainable future. The firm's approach combines capital investment with strategic support, fostering the growth of companies that are poised to make a significant impact in their respective industries and regions.</t>
  </si>
  <si>
    <t>Financial Services, Technology, Healthcare, Energy, Consumer Goods, Real Estate, Telecommunications, Retail, Education, Agriculture, Logistics, Transportation, Food and Beverage, Construction, Manufacturing, Chemicals, Tourism, Media and Entertainment, Waste Management, Water</t>
  </si>
  <si>
    <t>Science-driven startups, Focus on global complex issues, Commitment to decarbonization, Innovative solutions in deep tech sectors</t>
  </si>
  <si>
    <t>Supercritical, Ruby Bio, Electra, Sygaldry Technologies, Synonym, Aalo Atomics, Blykalla, GetSolar, Ampotech, Clear Robotics, BeeX, Kuva Space, TômTex Inc., Sparxell, Mojave Energy Systems</t>
  </si>
  <si>
    <t>Raisewell Ventures</t>
  </si>
  <si>
    <t>2625 Alcatraz Avenue Ste 324, Berkeley, CA 94705</t>
  </si>
  <si>
    <t>https://raisewell.vc/</t>
  </si>
  <si>
    <t>https://www.linkedin.com/company/raisewell-ventures/</t>
  </si>
  <si>
    <t>info@raisewell.vc</t>
  </si>
  <si>
    <t>Raisewell Ventures is a global early to mid-stage venture capital firm that bridges the best of Silicon Valley and Southeast Asia. The firm is on a mission to generate top-tier financial returns while driving lasting economic and social advancement through venture capital and deep tech. Their world-class founding team comprises tech, VC, and business luminaries, including a Nobel laureate, former Chair of the White House Council of Economic Advisers, and Minister of Trade.    The firm focuses on deep tech investments across early to growth stages (pre-seed through Series B), capitalizing on sectors of greatest opportunity for returns and global impact: climate change mitigation, manufacturing efficiency, and health equity. By focusing on these interconnected challenges, Raisewell Ventures aims to create a ripple effect of positive change. They recognize that today's challenges transcend borders and seek out and support innovative solutions wherever they may arise.    Raisewell Ventures' team brings a multidisciplinary set of skills across tech, business, and policy, together with deep insights, a keen understanding of global trends, and networks spanning private, public, and social sectors. They unleash this holistic support system to empower entrepreneurs to scale their visions and navigate complex landscapes. The firm connects entrepreneurs with potential partners, customers, and advisors, opening doors to accelerate growth and impact.    Their investment approach is inherently global, seeking out and supporting innovative solutions wherever they may arise. Raisewell Ventures has quickly influenced major policy and regulatory changes in Southeast Asia to transform the tech ecosystem, opening up the region for mutual benefit of startups and investors on both sides of the Pacific in ways never previously done. They are also excited to partner with the region's premier universities to advance their incubation programs.</t>
  </si>
  <si>
    <t>Technology, Healthcare, Energy, Agriculture, Manufacturing, Supply Chain, Food and Agriculture, Electric Vehicles, Health Tech, Climate Tech, Green Materials, Digital Therapeutics, Carbon Emission Mitigation, Mental Health Solutions, Affordable Medical Devices</t>
  </si>
  <si>
    <t>Innovative solutions in climate tech, manufacturing efficiency, and health equity, Early to mid-stage companies (pre-seed through Series B), Global perspective with a focus on Southeast Asia</t>
  </si>
  <si>
    <t>T-robotics, Femtosense, Kiwibot</t>
  </si>
  <si>
    <t>Adaverse</t>
  </si>
  <si>
    <t>https://adaverse.co</t>
  </si>
  <si>
    <t>https://www.linkedin.com/company/adaverse</t>
  </si>
  <si>
    <t>official@adaverse.co</t>
  </si>
  <si>
    <t>Adaverse is a prominent accelerator and venture capital firm specializing in the Cardano blockchain ecosystem. Established as a joint venture between EMURGO and Everest Ventures Group, Adaverse focuses on supporting early-stage Web3 and blockchain startups by providing funding, mentorship, and technical infrastructure. The firm has invested in and accelerated over 45 companies across various sectors, including DeFi, NFTs, gaming, and proptech, with a particular emphasis on projects in Africa and Asia.    Adaverse's investment strategy targets startups at the Seed and Series A stages, typically investing between $100,000 and $300,000. The firm offers comprehensive support to its portfolio companies, including technical guidance, strategic planning, tokenomics design, legal advisory, and community and marketing development. This holistic approach aims to foster the growth and scalability of blockchain solutions within the Cardano ecosystem.    With a global presence, Adaverse has expanded its operations to regions such as Saudi Arabia, Nigeria, Vietnam, Thailand, and the United States. The firm's commitment to connecting Africa with Asia through the Cardano ecosystem reflects its dedication to fostering international collaboration and innovation in the blockchain space. Adaverse's strategic investments and partnerships align with its mission to enhance the Web3 experience and contribute to the development of a secure, scalable, and open blockchain platform for the world.</t>
  </si>
  <si>
    <t>Healthcare, Infrastructure, Education, Agriculture, FinTech, E-commerce, Blockchain, Metaverse, Gaming, DeFi, Proptech, Web3, Supply Chain, NFTs, Middleware</t>
  </si>
  <si>
    <t>United States, United Kingdom, Hong Kong, Japan, Australia, Singapore, India, Indonesia, South Korea, Saudi Arabia, Pakistan, South Africa, Vietnam, Malaysia, Philippines, Portugal, Thailand, Nigeria, Finland, Liechtenstein</t>
  </si>
  <si>
    <t>Projects building on the Cardano blockchain, Startups at Seed and Series A stages, Focus on DeFi, NFTs, gaming, proptech, and other Web3 solutions</t>
  </si>
  <si>
    <t>Afriex, Seso Global, Ejara, Canza Finance, Cassava Network, Kaya Labs, Conjure Games, Reap, Nuqtah, Grintafy Technologies</t>
  </si>
  <si>
    <t>Jay Chi</t>
  </si>
  <si>
    <t>https://makersfund.com</t>
  </si>
  <si>
    <t>https://www.linkedin.com/company/makersfund</t>
  </si>
  <si>
    <t>info@makersfund.com</t>
  </si>
  <si>
    <t>Makers Fund is a global venture capital firm specializing in interactive entertainment investments. Founded by Jay Chi and Michael Cheung, the firm focuses on early-stage investments in the gaming and entertainment sectors. With a presence in San Francisco, London, Beijing, and Tokyo, Makers Fund has invested in companies such as Bossa Studios, FaceIT, Genvid, Typhoon Studios, SuperData, tinyBuild, Klang Games, and Teacher Gaming. The firm raised $200 million for its fund in April 2018.    Jay Chi, a Founding Partner at Makers Fund, has a background as a Partner at McKinsey &amp; Company, where he led the Video Games Practice. He has invested in notable companies like VRChat and Popdog, focusing on sectors like Entertainment &amp; Sports, Games, and Media/Content. Chi's career highlights include co-founding Makers Fund and Kowloon Nights, while his investment portfolio showcases successful funding rounds for companies such as Theorycraft Games and mod.io.    Makers Fund's investment strategy emphasizes supporting high-growth interactive media companies, particularly in the gaming and entertainment industries. The firm has a global reach, with investments spanning across the United States, Canada, Europe, and Asia. Their portfolio includes a diverse range of companies, from game developers to esports platforms, reflecting their commitment to fostering innovation in the interactive entertainment sector.</t>
  </si>
  <si>
    <t>Media/Content, Games, Gaming/Esports, Entertainment &amp; Sports</t>
  </si>
  <si>
    <t>United States, Canada, Japan, Australia, Europe, Singapore, China, India, Indonesia, South Korea, Pakistan, Bangladesh, Vietnam, Malaysia, New Zealand, Philippines, Thailand, Maldives, Sri Lanka, Nepal, Bhutan</t>
  </si>
  <si>
    <t>Innovative interactive entertainment companies, Early-stage ventures, Global market potential</t>
  </si>
  <si>
    <t>Bossa Studios, Faceit, Genvid, Typhoon Studios, SuperData, tinyBuild, Klang Games, Teacher Gaming</t>
  </si>
  <si>
    <t>Systema VC</t>
  </si>
  <si>
    <t>https://systema.vc</t>
  </si>
  <si>
    <t>contact@systema.vc</t>
  </si>
  <si>
    <t>An early-stage venture capital firm investing in technology companies across various sectors and stages.    The firm focuses on sectors such as artificial intelligence, health tech, blockchain, and biotechnology, supporting innovative ventures poised to make significant technological advancements.    With a global investment approach, the firm has a diverse portfolio spanning multiple countries and regions, reflecting its commitment to fostering innovation worldwide.</t>
  </si>
  <si>
    <t>Artificial Intelligence, Blockchain, Biotechnology, Health Tech</t>
  </si>
  <si>
    <t>United Kingdom, Canada, Germany, Hong Kong, Japan, Australia, Singapore, India, Brazil, France, Italy, Denmark, United Arab Emirates, Switzerland, Spain, Mexico, Indonesia, Ghana, Kenya, Luxembourg, South Korea, Ireland, Austria, Saudi Arabia, Qatar, Kuwait, Oman, Egypt, Tunisia, Libya, Morocco, Algeria, Lebanon, Bahrain, Turkey, Pakistan, Jordan, Bangladesh, Somalia, Iraq, Netherlands, South Africa, Russia, Montenegro, Hungary, Vietnam, Mongolia, Malaysia, Afghanistan, Bosnia and Herzegovina, New Zealand, Palestine, Niger, Sudan, Mali, Chad, Ethiopia, Djibouti, Mauritania, Yemen, Philippines, Slovenia, Croatia, Portugal, Sweden, Belgium, Israel, Malta, Greece, Thailand, Nigeria, Rwanda, Norway, Finland, Zambia, Cyprus, Poland, Chile, Argentina, Colombia, Peru, Czech Republic, Slovakia, Serbia, Romania, Bulgaria, Taiwan, Syria, Comoros, Sao Tome and Principe, Eritrea, Uganda, Tanzania, Burundi, Mauritius, Seychelles, Maldives, Sri Lanka, Nepal, Bhutan, Myanmar, Cambodia, Laos, Iran, Iceland, Estonia, Latvia, Lithuania, Liechtenstein, El Salvador, Bolivia, Panama, Uruguay, Venezuela, Georgia, Dominican Republic, Costa Rica, Cameroon, Senegal, Côte d'Ivoire, Mozambique, Angola, Ukraine, North Macedonia, Albania, Moldova, Belarus, Azerbaijan, Monaco, Ecuador, Paraguay, Guatemala, Honduras, Nicaragua, Cuba, Kazakhstan, Uzbekistan, Kyrgyzstan, Saint Kitts and Nevis, Papua New Guinea, Belize, Trinidad and Tobago, Barbados, Jamaica, Saint Lucia, Turkmenistan, Tajikistan, Bahamas, Benin, Zimbabwe, Gabon, Botswana, Namibia, Malawi, Sierra Leone, Liberia, Burkina Faso, Central African Republic, Gambia, Guinea, Guinea-Bissau, Guyana, Kiribati, Lesotho, Madagascar, Solomon Islands, Suriname, Togo, Vanuatu, Timor-Leste, Equatorial Guinea, Andorra, Cabo Verde, Congo, Haiti, Antigua and Barbuda, Dominica, Grenada, Saint Vincent and the Grenadines, Fiji, Micronesia, Marshall Islands, Palau, Samoa, San Marino, Tonga, Tuvalu, Holy See</t>
  </si>
  <si>
    <t>Jacob Kurian</t>
  </si>
  <si>
    <t>205 Ceejay House, Shivsagar Estate, Dr. Annie Besant Road, Worli, Mumbai</t>
  </si>
  <si>
    <t>http://www.nsrpartners.com</t>
  </si>
  <si>
    <t>rupa@nsrpartners.com</t>
  </si>
  <si>
    <t>Jacob Kurian is a partner at New Silk Route Advisors, focusing on private equity and venture capital investments in the Indian subcontinent and other rapidly growing economies of Emerging Asia. He joined the firm in April 2007, bringing extensive experience from his previous roles, including serving as a partner at the India Consumer Growth Fund and as President of the Indian operations of Laureate Inc. Prior to these positions, Jacob was part of the Tata Administrative Service, where he held various leadership roles within the Tata Group.  At New Silk Route Advisors, Jacob has been instrumental in evaluating and managing investments across a diverse range of sectors, including telecommunications, education, financial services, media &amp; technology, and consumer services. His strategic insights have contributed to the firm's growth and its ability to identify and capitalize on emerging market opportunities. Jacob's leadership and expertise have been pivotal in driving the firm's investment strategies and fostering the success of its portfolio companies.  Jacob holds a Bachelor of Engineering in Electrical and Electronics Engineering from the National Institute of Technology, Tiruchirapalli, and an MBA from XLRI, Jamshedpur. His academic achievements and professional journey reflect a commitment to excellence and a deep understanding of the dynamics of emerging markets. His role at New Silk Route Advisors continues to be a testament to his dedication to fostering growth and innovation in the regions he serves.</t>
  </si>
  <si>
    <t>Financial Services, Technology, Healthcare, Real Estate, Infrastructure, Telecommunications, Automotive, Education, Renewable Energy, Food &amp; Beverages, Consumer Services, Media &amp; Entertainment, Media &amp; Technology, FMCG, Restaurants &amp; Hospitality</t>
  </si>
  <si>
    <t>United States, United Kingdom, Hong Kong, Singapore, China, India, United Arab Emirates, Indonesia, Pakistan, Bangladesh, Vietnam, Malaysia, Afghanistan, Philippines, Thailand, Sri Lanka, Nepal, Myanmar, Cambodia, Laos</t>
  </si>
  <si>
    <t>Strong growth potential, Experienced management team, Scalable business model, Competitive market positioning, Clear exit strategy</t>
  </si>
  <si>
    <t>Reliance Telecom Infrastructure, Ascend Telecom, Augere, Beaconhouse School System, Destimoney, Orissa Television Communications, Café Coffee Day, Nectar Lifesciences, Amonix, Moshes Fine Foods, 9X Media, VRL Logistics, Rolex Rings, KS Oils, Varsity Education Management, Vasudev Adiga’s Fast Food</t>
  </si>
  <si>
    <t>Mandala Capital</t>
  </si>
  <si>
    <t>Ebène, Plaines Wilhems</t>
  </si>
  <si>
    <t>https://mandala-capital.com/</t>
  </si>
  <si>
    <t>https://www.linkedin.com/company/mandala-capital</t>
  </si>
  <si>
    <t>info@mandala-capital.com</t>
  </si>
  <si>
    <t>+65 6807 0455</t>
  </si>
  <si>
    <t>Mandala Capital is a vision-driven investment firm focused on transforming the lives of farmers in South and Southeast Asia by making agriculture more sustainable, climate-friendly, and resilient. The firm aims to increase access to affordable, healthy, and nutritious food by investing in the food and agriculture value chain across the region. With a population of over 2 billion, half of whom are linked to agriculture, the region presents compelling investment opportunities. Mandala Capital partners with visionary teams and executives, providing extensive financial and operational support to create industry-leading companies that address challenges in climate, health, nutrition, resource efficiency, and rural employment.    The firm's investment strategy is highly operational, focusing on identifying scalable companies with sustainable competitive advantages. Mandala Capital takes a thesis-driven approach, conducting thorough research to pinpoint investment areas within the extensive value chain. This results in stronger conviction, a better diligence process, and a greater understanding of business valuation. The firm looks beyond financials, understanding strategic and operational nuances, and forming strong relationships with partners to support them through both prosperous and challenging times. Innovative and creative deal structuring allows Mandala Capital to invest across the capital structure, achieving win-win outcomes for both companies and investors.    Mandala Capital's impact is significant, with a commitment to achieving the UN Sustainable Development Goals through its investments. In 2023, for every US$1 invested, approximately US$5.4 of social value was created. The firm's portfolio companies have achieved notable milestones, including securing funding from the Green Climate Fund to drive climate adaptation across Asia. Mandala Capital's dedication to building resilient, inclusive, and sustainable food systems underscores its role as a catalyst for positive change in the region.</t>
  </si>
  <si>
    <t>Financial Services, Healthcare, Consumer Goods, Real Estate, Telecommunications, Retail, Education, Renewable Energy, Agriculture, Logistics, Hospitality, Waste Management, Water Management, Food Processing, Supply Chain Management</t>
  </si>
  <si>
    <t>Singapore, India, Indonesia, Pakistan, Bangladesh, Vietnam, Malaysia, Afghanistan, Philippines, Thailand, Maldives, Sri Lanka, Nepal, Bhutan, Myanmar, Cambodia, Laos, Papua New Guinea, Brunei, Timor-Leste</t>
  </si>
  <si>
    <t>Companies with potential to become clear leaders in their sector, Established, scalable agrifood SMEs that can drive climate-resilient productivity and efficiency, Businesses addressing challenges in climate, health, nutrition, resource efficiency, and rural employment</t>
  </si>
  <si>
    <t>K3 Diversity Ventures</t>
  </si>
  <si>
    <t>Los Angeles, CA</t>
  </si>
  <si>
    <t>https://www.k3diversityventures.com/</t>
  </si>
  <si>
    <t>contact@k3diversityventures.com</t>
  </si>
  <si>
    <t>K3 Diversity Ventures is a sector-agnostic venture capital firm that invests globally in early-stage companies led by exceptional founders. With diversity as its core value, the firm seeks to empower diverse game changers across various sectors.  The firm's investment strategy focuses on seed to early-stage investments in information technology, software, and marketplace industries, with a geographical emphasis on Asia and North America. K3 Diversity Ventures manages the K3 Diversity Fund I, a hyper-diversified growth fund, and operates as a fund of funds and venture capital firm.  K3 Diversity Ventures has invested in a diverse portfolio of companies, including Tazah, a B2B fresh produce marketplace in Pakistan; Yassir, a super app in North Africa; and Zipline, a logistics company in the United States. The firm's commitment to diversity and inclusion is evident in its investment choices and company culture.</t>
  </si>
  <si>
    <t>Seed, Early Stage, Late Stage, Pre-Seed</t>
  </si>
  <si>
    <t>Software, HealthTech, EdTech, FinTech, E-commerce, Information Technology, Marketplace, Technology Product Delivery</t>
  </si>
  <si>
    <t>United States, Singapore, Algeria, Pakistan, Vietnam</t>
  </si>
  <si>
    <t>Exceptional founders, Early-stage companies, Diverse and inclusive teams</t>
  </si>
  <si>
    <t>Tazah, Yassir, Zipline</t>
  </si>
  <si>
    <t>Mulia Sky Capital</t>
  </si>
  <si>
    <t>135 Middle Road #02-24 Bylands Building, Singapore</t>
  </si>
  <si>
    <t>https://muliasky.vc</t>
  </si>
  <si>
    <t>admin@muliasky.vc</t>
  </si>
  <si>
    <t>Mulia Sky Capital is a venture capital firm based in Singapore, focusing on investing in technology-driven companies across Southeast Asia. The firm primarily targets seed to pre-series A stages, selectively investing in later-stage companies that have demonstrated meaningful growth and sustainability. Their team comprises professionals with diverse backgrounds in investment banking, management consulting, private equity, family business, and startups.    The firm's investment strategy emphasizes fundamental analysis, partnering with founders who exhibit integrity, resilience, and business acumen. They collaborate with Evolve Capital Management Pte Ltd, a Monetary Authority of Singapore (MAS) regulated fund manager, to manage funds under their established Variable Capital Company (VCC), Evolve Capital Management Fund VCC. This partnership aims to capitalize on high-growth opportunities across Southeast Asia, focusing on sectors leveraging the new economy and digitization trends, as well as the broader consumer value chain.    Mulia Sky Capital has invested in a diverse portfolio of companies, including Belanjaparts, BintanGO, Carsome, Pace, AcrossB, Monoly, Tjufoo, Reku, Edukita, fr8Labs, Hiboo, Kick Avenue, Portlogics, Se'Indonesia, Sourcy, Solmatoss, and Alamme. These investments span various industries such as information technology, financial services, transportation, logistics, supply chain, software development, and consumer goods, reflecting the firm's commitment to supporting innovative and impactful businesses across the region.</t>
  </si>
  <si>
    <t>Seed, Pre-Seed, Early Stage, Series A, Series B, Growth, Late Stage, Pre-IPO</t>
  </si>
  <si>
    <t>Financial Services, Technology, Healthcare, Consumer Goods, Real Estate, Media, Automotive, Retail, Education, E-commerce, Logistics, Manufacturing, Entertainment, Food &amp; Beverage, Fashion</t>
  </si>
  <si>
    <t>Strong business fundamentals, Competitive edge, Founder integrity, Resilience, Business acumen</t>
  </si>
  <si>
    <t>Belanjaparts, BintanGO, Carsome, Pace, AcrossB, Monoly, Tjufoo, Reku, Edukita, fr8Labs, Hiboo, Kick Avenue, Portlogics, Se'Indonesia, Sourcy, Solmatoss, Alamme</t>
  </si>
  <si>
    <t>AlphaGen Venture Capital</t>
  </si>
  <si>
    <t>133, Cecil Street, #14-01, Keck Seng Tower, Singapore 069535</t>
  </si>
  <si>
    <t>https://alphagen.vc/</t>
  </si>
  <si>
    <t>https://www.linkedin.com/company/alphagen-vc/</t>
  </si>
  <si>
    <t>info@alphagen.vc</t>
  </si>
  <si>
    <t>+65 9874 5632</t>
  </si>
  <si>
    <t>AlphaGen Venture Capital is a Singapore-based venture capital firm dedicated to supporting innovative startups across Southeast Asia. The firm focuses on early-stage investments in technology-driven companies, aiming to foster growth and innovation in the region.    With a strategic emphasis on sectors such as fintech, e-commerce, healthtech, and edtech, AlphaGen seeks to partner with visionary entrepreneurs who are developing solutions to address regional challenges. The firm provides not only capital but also strategic guidance to help portfolio companies scale effectively.    AlphaGen's investment approach is characterized by a hands-on partnership model, leveraging its extensive network and industry expertise to drive value creation. The firm is committed to nurturing startups that have the potential to become market leaders in their respective industries, contributing to the dynamic growth of Southeast Asia's economy.</t>
  </si>
  <si>
    <t>Technology, Consumer Goods, Media, HealthTech, EdTech, FinTech, E-commerce, Logistics, SaaS, Artificial Intelligence, Blockchain, Entertainment, Cybersecurity, Agtech, Enterprise Software</t>
  </si>
  <si>
    <t>Innovative technology solutions, Scalable business models, Strong founding teams, Clear market differentiation, Potential for regional expansion</t>
  </si>
  <si>
    <t>Gojek, Tokopedia, Bukalapak, Traveloka, Zalora, Carousell, Grab, Sea Group, Razer, Ninja Van, RedDoorz, Katalon, Klook, Shopback, Carro, Lazada, Shopee, Foodpanda, Lalamove, Gogoro</t>
  </si>
  <si>
    <t>Tembusu ICT Fund I</t>
  </si>
  <si>
    <t>3 Phillip Street, #12-01, Royal Group Building, Singapore 048693</t>
  </si>
  <si>
    <t>https://tembusupartners.com/funds/ict-fund-i/</t>
  </si>
  <si>
    <t>Tembusu ICT Fund I is a Singapore-based venture capital fund established in 2015, focusing on early-stage software companies in Southeast Asia and China. The fund aims to generate superior returns by investing in companies poised to benefit from Asia's growing prominence in the global technology landscape. It is the only venture capital fund in Singapore dedicated solely to software startups.    The fund's investment strategy targets sectors such as software, artificial intelligence, data analytics, cybersecurity, e-commerce, fintech, healthtech, edtech, proptech, agtech, logistics, media, telecommunications, consumer electronics, and semiconductors. It primarily invests in seed, early-stage, and growth-stage companies, with investment sizes ranging from $1 million to $5 million.    Tembusu ICT Fund I is one of six funds selected by Singapore's National Research Foundation (NRF) as part of the Early Stage Venture Fund (ESVF) II scheme, designed to promote co-investment in local startups alongside capital invested by NRF. The fund's portfolio includes companies like Deskera, Latize, Sixscape, Talger, VI DImensIons, KaHa, and VIsenze. The general partners are Tembusu Partners and Pepri Ventures, with an investment committee comprising experienced corporate leaders and industry veterans.</t>
  </si>
  <si>
    <t>Telecommunications, Media, Software, HealthTech, EdTech, FinTech, E-commerce, Logistics, Artificial Intelligence, Cybersecurity, Agtech, Semiconductors, Proptech, Consumer Electronics, Data Analytics</t>
  </si>
  <si>
    <t>Early-stage software companies in Southeast Asia and China with high growth potential</t>
  </si>
  <si>
    <t>Deskera, Latize, Sixscape, Talger, VI DImensIons, KaHa, Visenze</t>
  </si>
  <si>
    <t>Humania Capital</t>
  </si>
  <si>
    <t>Penthouse 1, Level 5, Gate Village 2, Dubai International Financial Centre, Dubai, UAE</t>
  </si>
  <si>
    <t>https://humaniacap.com</t>
  </si>
  <si>
    <t>https://www.linkedin.com/company/humania-capital</t>
  </si>
  <si>
    <t>info@humaniacap.com</t>
  </si>
  <si>
    <t>+971 4246 4902</t>
  </si>
  <si>
    <t>Humania Capital is an investment platform dedicated to healthcare opportunities in the Middle East and emerging markets. Building on 35 years of healthcare experience, they aim to improve well-being and generate strong returns for investors. The founders bring an unparalleled track record in healthcare, medical education, and related sectors.    Their mission is to enhance access to quality healthcare in MENA and other emerging markets by bringing together expertise, capital, and innovation to deliver sustainable value. Their vision is to build, acquire, improve, and grow healthcare businesses in these regions by making value-added investments, deepening know-how, improving organizations, and fostering innovation to make a meaningful and lasting contribution to the healthcare space.    Humania Capital's team brings a distinctive track record in healthcare investments and private equity in the Middle East and other emerging markets. They are committed to empowering and progressing humanity by investing in healthcare, with a focus on improving well-being and generating strong returns for investors. Their approach combines expertise, capital, and innovation to deliver sustainable value in the healthcare sector.</t>
  </si>
  <si>
    <t>Technology, Healthcare, Real Estate, Life Sciences, Healthcare Services, Pharmaceuticals, Medical Devices, Diagnostics, Biotechnology, Health Tech, Medical Research, Health Insurance, Healthcare IT, Telemedicine, Medical Education</t>
  </si>
  <si>
    <t>United Arab Emirates, Saudi Arabia, Egypt, Middle East, North Africa, South Asia, Pakistan</t>
  </si>
  <si>
    <t>Focus on healthcare sector investments, Interest in emerging markets, Commitment to improving well-being and generating strong returns for investors, Experience in healthcare, medical education, and related sectors, Ability to make value-added investments and foster innovation in healthcare businesses</t>
  </si>
  <si>
    <t>Saudi German Hospital Group, Bait Al Batterjee Medical Company</t>
  </si>
  <si>
    <t>https://strive.vc</t>
  </si>
  <si>
    <t>https://www.linkedin.com/company/strive-vc</t>
  </si>
  <si>
    <t>STRIVE is a Japanese venture capital firm that invests in early-stage technology companies across Asia. The firm focuses on sectors such as B2B, FinTech, EdTech, HealthTech, E-commerce, Logistics, Media, Entertainment, Consumer Goods, Enterprise Software, Artificial Intelligence, and Blockchain. STRIVE's investment stages range from Seed to Late Stage, including Series A, Series B, Growth, and Pre-IPO rounds. The firm has a geographical focus on Japan, India, Indonesia, Singapore, Malaysia, Thailand, Vietnam, Philippines, Myanmar, Cambodia, Laos, Brunei, Timor-Leste, Bangladesh, Pakistan, Nepal, Sri Lanka, Maldives, Bhutan, and Afghanistan. Investment sizes typically range from $1 million to $10 million.  STRIVE's investment strategy emphasizes a hands-on approach to nurturing companies, providing support in areas such as talent acquisition, product-market fit, and subsequent fundraising. The firm has made over 150 investments, with notable exits including Wealthnavi, Saleswhale, and WegoPro. STRIVE's portfolio includes companies like ClassPlus, TrustDock, Kudo (acquired by GRAB), BuildSupply, and Pie (acquired by Google). The firm has raised five funds, with the latest being STRIVE III, which closed in 2019 with a total of $130 million.  STRIVE's mission is to support innovative entrepreneurs who will lead the future of the Internet. The firm aims to contribute to IT innovation and the creation of new values through its investments. STRIVE operates with a focus on the Internet and IT fields, both in Japan and overseas, through Fund Investment and Startup Investment. The firm is committed to expanding the scale and scope of its investments to support the startup ecosystem in the future.</t>
  </si>
  <si>
    <t>Technology, Consumer Goods, Media, HealthTech, EdTech, FinTech, E-commerce, Logistics, Artificial Intelligence, Blockchain, Entertainment, Internet, B2B, Mobile, Enterprise Software</t>
  </si>
  <si>
    <t>Innovative technology solutions, Scalable business models, Strong management teams, Potential for significant market impact, Alignment with STRIVE's investment focus areas</t>
  </si>
  <si>
    <t>Classplus, TrustDock, Kudo, BuildSupply, Pie, Saleswhale, WegoPro, Wealthnavi</t>
  </si>
  <si>
    <t>KIT Investor Indonesia</t>
  </si>
  <si>
    <t>https://kitinvestor.com/</t>
  </si>
  <si>
    <t>info@kitinvestor.com</t>
  </si>
  <si>
    <t>+62 8111567634</t>
  </si>
  <si>
    <t>KIT Investor Indonesia is a prominent venture capital firm established in 2020, dedicated to advancing the digital economy across Asia. The firm specializes in sectors including artificial intelligence, e-commerce, logistics, entertainment, finance, food, insurance, media, property, and sports. KIT Investor Indonesia is committed to supporting entrepreneurs and innovators, fostering a community of dreamers and builders aiming to make a significant impact on the world.    The firm's investment strategy encompasses a diverse range of asset classes, with a particular focus on venture capital. KIT Investor Indonesia targets various stages of company development, including seed, early stage, and growth phases. The firm has a notable presence in multiple Asian countries, including Indonesia, Singapore, Malaysia, Thailand, Vietnam, the Philippines, Myanmar, Cambodia, Laos, Brunei, Timor-Leste, Bangladesh, Pakistan, India, Nepal, Sri Lanka, the Maldives, Afghanistan, Bhutan, and Mongolia.    In addition to its investment activities, KIT Investor Indonesia emphasizes a multi-dimensional environmental, social, and governance (ESG) strategy. This approach supports a range of social initiatives across Asia, focusing on financial inclusion, gender equality, healthcare, and education. The firm's impact acceleration initiatives include advocacy, investment, world-class partner benefits, and collaborations with its venture portfolio, aiming to drive positive change and sustainable development in the region.</t>
  </si>
  <si>
    <t>Healthcare, Media, Finance, Insurance, Business Services, E-commerce, Logistics, Artificial Intelligence, Entertainment, Chemicals, Sports, Food, Property, Consumer Brands, Software &amp; IT</t>
  </si>
  <si>
    <t>Strong market analysis, Experience and precision, Expertise in business</t>
  </si>
  <si>
    <t>99.co, Carousell, Carro, Glide, Hemil, Oddle, Shopback, Vulcan Post, Xfers, Yummy Corporation</t>
  </si>
  <si>
    <t>WahedX</t>
  </si>
  <si>
    <t>28th October Street, Building 47, Office 201, Nicosia</t>
  </si>
  <si>
    <t>https://www.wahedventures.com/</t>
  </si>
  <si>
    <t>support@maydancapital.com</t>
  </si>
  <si>
    <t>WahedX is a venture capital firm investing in early-stage companies across various sectors and regions. The firm focuses on providing funding and support to startups in their seed and early stages, aiming to help entrepreneurs turn their ideas into successful businesses. WahedX operates in multiple countries, including the United Arab Emirates, United Kingdom, United States, Malaysia, Indonesia, South Africa, Nigeria, Mauritius, Qatar, Saudi Arabia, Cyprus, South Korea, Singapore, Turkey, Jordan, Egypt, Pakistan, Bangladesh, Philippines, Thailand, and others. The firm's investment strategy encompasses a wide range of industries, such as technology, financial services, healthcare, consumer goods, education, media, telecommunications, energy, transportation, real estate, agriculture, retail, manufacturing, logistics, and tourism. WahedX offers flexible investment sizes, with a minimum investment of $100 and a maximum of $1,000,000, catering to a diverse range of startups seeking capital. WahedX is committed to supporting the growth and development of early-stage companies, providing them with the necessary resources and expertise to succeed in their respective markets.     WahedX's approach is centered around identifying promising startups and offering them the financial backing and strategic guidance needed to scale their operations. The firm leverages its extensive network and industry knowledge to assist portfolio companies in navigating challenges and seizing growth opportunities. By focusing on a broad spectrum of industries and regions, WahedX aims to foster innovation and contribute to the economic development of the areas it invests in. The firm's diverse portfolio reflects its commitment to supporting a wide array of entrepreneurs and business models, ensuring a dynamic and resilient investment approach.     Through its investments, WahedX seeks to create value not only for its investors but also for the communities and markets in which its portfolio companies operate. The firm's dedication to early-stage investing underscores its belief in the potential of startups to drive economic growth and innovation. WahedX continues to explore new opportunities and partnerships, striving to make a positive impact on the global entrepreneurial ecosystem.</t>
  </si>
  <si>
    <t>United States, United Kingdom, Singapore, United Arab Emirates, Indonesia, South Korea, Saudi Arabia, Qatar, Egypt, Turkey, Pakistan, Jordan, Bangladesh, South Africa, Malaysia, Philippines, Thailand, Nigeria, Cyprus, Mauritius</t>
  </si>
  <si>
    <t>Solve Innovation Future</t>
  </si>
  <si>
    <t>600 Technology Square, Floor 3, Cambridge, MA 02139</t>
  </si>
  <si>
    <t>https://info.solve.mit.edu/solve-innovation-future</t>
  </si>
  <si>
    <t>casey@solve.mit.edu</t>
  </si>
  <si>
    <t>Solve Innovation Future is a venture capital firm investing in early-stage companies addressing global challenges. The firm focuses on sectors such as technology, healthcare, education, agriculture, energy, water, financial services, infrastructure, transportation, manufacturing, retail, media, telecommunications, real estate, and consumer goods. It operates in countries including the United States, Kenya, India, Mexico, Nigeria, South Africa, Brazil, Indonesia, Philippines, Vietnam, Bangladesh, Pakistan, Egypt, Colombia, Argentina, Chile, Peru, Thailand, Malaysia, and Myanmar. Investment sizes range from $500,000 to $5,000,000.  The firm's strategy involves deploying philanthropic capital to make significant investments in entrepreneurs leveraging technology for social impact. By recycling philanthropic dollars, Solve Innovation Future aims to amplify the impact of mission-driven founders and contribute to closing the $4.2 trillion annual funding gap needed to achieve the UN Sustainable Development Goals by 2030.  Since its inception, Solve Innovation Future has supported numerous innovators who have achieved substantial impact, including reducing carbon emissions, conserving water, and providing quality healthcare to underserved populations. The firm continues to seek and support early-stage innovators with the potential to drive meaningful change globally.</t>
  </si>
  <si>
    <t>Financial Services, Technology, Healthcare, Energy, Consumer Goods, Real Estate, Infrastructure, Telecommunications, Media, Retail, Education, Agriculture, Transportation, Manufacturing, Water</t>
  </si>
  <si>
    <t>United States, India, Brazil, Mexico, Indonesia, Kenya, Egypt, Pakistan, Bangladesh, South Africa, Vietnam, Malaysia, Philippines, Thailand, Nigeria, Chile, Argentina, Colombia, Peru, Myanmar</t>
  </si>
  <si>
    <t>Early-stage companies addressing global challenges, Innovative solutions with potential for significant social impact, Alignment with UN Sustainable Development Goals</t>
  </si>
  <si>
    <t>Access Afya, mPharma, Jumia, Twiga Foods, SolarNow, M-KOPA, d.light, Jumo, Yoco, Luno, SweepSouth</t>
  </si>
  <si>
    <t>Investor 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</si>
</sst>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name val="Calibri"/>
      <charset val="1"/>
    </font>
    <font>
      <sz val="11"/>
      <name val="Calibri"/>
    </font>
    <font>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xf numFmtId="0" fontId="1" fillId="0" borderId="0" xfId="0" applyFont="1"/>
    <xf numFmtId="0" fontId="2" fillId="0" borderId="0" xfId="0" applyFont="1"/>
    <xf numFmtId="0" fontId="0" fillId="0" borderId="0" xfId="0" applyFont="1"/>
  </cellXfs>
  <cellStyles count="1">
    <cellStyle name="Normal" xfId="0" builtin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0"/>
  <sheetViews>
    <sheetView topLeftCell="A220" workbookViewId="0"/>
  </sheetViews>
  <sheetFormatPr defaultRowHeight="15"/>
  <cols>
    <col min="1" max="1" width="11" style="2" customWidth="1"/>
    <col min="2" max="2" width="25" customWidth="1"/>
    <col min="3" max="3" width="22" customWidth="1"/>
    <col min="4" max="4" width="50" customWidth="1"/>
    <col min="5" max="5" width="18" customWidth="1"/>
    <col min="6" max="6" width="8" customWidth="1"/>
    <col min="7" max="7" width="30" customWidth="1"/>
    <col min="8" max="8" width="50" customWidth="1"/>
    <col min="9" max="10" width="30" customWidth="1"/>
    <col min="11" max="11" width="50" customWidth="1"/>
    <col min="12" max="12" width="13" customWidth="1"/>
    <col min="13" max="18" width="40" customWidth="1"/>
  </cols>
  <sheetData>
    <row r="1" spans="1:18"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tr">
        <f>HYPERLINK("https://investorlist.com/investor/shorooq-partners?ref=Excel_ViewProfile","View Profile")</f>
        <v>View Profile</v>
      </c>
      <c r="B2" t="s">
        <v>18</v>
      </c>
      <c r="C2" t="s">
        <v>19</v>
      </c>
      <c r="D2" t="s">
        <v>20</v>
      </c>
      <c r="E2" t="s">
        <v>21</v>
      </c>
      <c r="F2" t="s">
        <v>22</v>
      </c>
      <c r="G2" t="s">
        <v>23</v>
      </c>
      <c r="H2" t="s">
        <v>24</v>
      </c>
      <c r="I2" t="s">
        <v>25</v>
      </c>
      <c r="J2" t="s">
        <v>26</v>
      </c>
      <c r="K2" t="s">
        <v>27</v>
      </c>
      <c r="L2">
        <v>2017</v>
      </c>
      <c r="M2" t="s">
        <v>28</v>
      </c>
      <c r="N2" t="s">
        <v>29</v>
      </c>
      <c r="O2" t="s">
        <v>30</v>
      </c>
      <c r="P2" t="s">
        <v>31</v>
      </c>
      <c r="Q2" t="s">
        <v>32</v>
      </c>
      <c r="R2" t="s">
        <v>33</v>
      </c>
    </row>
    <row r="3" spans="1:18">
      <c r="A3" s="2" t="str">
        <f>HYPERLINK("https://investorlist.com/investor/khalifa-bin-zayed-al-nahyan-foundation?ref=Excel_ViewProfile","View Profile")</f>
        <v>View Profile</v>
      </c>
      <c r="B3" t="s">
        <v>34</v>
      </c>
      <c r="C3" t="s">
        <v>35</v>
      </c>
      <c r="D3" t="s">
        <v>36</v>
      </c>
      <c r="E3" t="s">
        <v>21</v>
      </c>
      <c r="F3" t="s">
        <v>22</v>
      </c>
      <c r="G3" t="s">
        <v>37</v>
      </c>
      <c r="H3" t="s">
        <v>38</v>
      </c>
      <c r="I3" t="s">
        <v>39</v>
      </c>
      <c r="J3" t="s">
        <v>38</v>
      </c>
      <c r="K3" t="s">
        <v>40</v>
      </c>
      <c r="L3">
        <v>2007</v>
      </c>
      <c r="M3" t="s">
        <v>38</v>
      </c>
      <c r="N3" t="s">
        <v>38</v>
      </c>
      <c r="O3" t="s">
        <v>41</v>
      </c>
      <c r="P3" t="s">
        <v>42</v>
      </c>
      <c r="Q3" t="s">
        <v>38</v>
      </c>
      <c r="R3" t="s">
        <v>38</v>
      </c>
    </row>
    <row r="4" spans="1:18">
      <c r="A4" s="2" t="str">
        <f>HYPERLINK("https://investorlist.com/investor/arzan-venture-capital?ref=Excel_ViewProfile","View Profile")</f>
        <v>View Profile</v>
      </c>
      <c r="B4" t="s">
        <v>43</v>
      </c>
      <c r="C4" t="s">
        <v>19</v>
      </c>
      <c r="D4" t="s">
        <v>44</v>
      </c>
      <c r="E4" t="s">
        <v>45</v>
      </c>
      <c r="F4" t="s">
        <v>46</v>
      </c>
      <c r="G4" t="s">
        <v>47</v>
      </c>
      <c r="H4" t="s">
        <v>48</v>
      </c>
      <c r="I4" t="s">
        <v>49</v>
      </c>
      <c r="J4" t="s">
        <v>50</v>
      </c>
      <c r="K4" t="s">
        <v>51</v>
      </c>
      <c r="L4">
        <v>2014</v>
      </c>
      <c r="M4" t="s">
        <v>52</v>
      </c>
      <c r="N4" t="s">
        <v>19</v>
      </c>
      <c r="O4" t="s">
        <v>53</v>
      </c>
      <c r="P4" t="s">
        <v>54</v>
      </c>
      <c r="Q4" t="s">
        <v>55</v>
      </c>
      <c r="R4" t="s">
        <v>56</v>
      </c>
    </row>
    <row r="5" spans="1:18">
      <c r="A5" s="2" t="str">
        <f>HYPERLINK("https://investorlist.com/investor/venturesouq?ref=Excel_ViewProfile","View Profile")</f>
        <v>View Profile</v>
      </c>
      <c r="B5" t="s">
        <v>57</v>
      </c>
      <c r="C5" t="s">
        <v>19</v>
      </c>
      <c r="D5" t="s">
        <v>58</v>
      </c>
      <c r="E5" t="s">
        <v>38</v>
      </c>
      <c r="F5" t="s">
        <v>22</v>
      </c>
      <c r="G5" t="s">
        <v>59</v>
      </c>
      <c r="H5" t="s">
        <v>60</v>
      </c>
      <c r="I5" t="s">
        <v>61</v>
      </c>
      <c r="J5" t="s">
        <v>62</v>
      </c>
      <c r="K5" t="s">
        <v>63</v>
      </c>
      <c r="L5">
        <v>2013</v>
      </c>
      <c r="M5" t="s">
        <v>64</v>
      </c>
      <c r="N5" t="s">
        <v>19</v>
      </c>
      <c r="O5" t="s">
        <v>65</v>
      </c>
      <c r="P5" t="s">
        <v>66</v>
      </c>
      <c r="Q5" t="s">
        <v>67</v>
      </c>
      <c r="R5" t="s">
        <v>68</v>
      </c>
    </row>
    <row r="6" spans="1:18">
      <c r="A6" s="2" t="str">
        <f>HYPERLINK("https://investorlist.com/investor/global-ventures?ref=Excel_ViewProfile","View Profile")</f>
        <v>View Profile</v>
      </c>
      <c r="B6" t="s">
        <v>69</v>
      </c>
      <c r="C6" t="s">
        <v>19</v>
      </c>
      <c r="D6" t="s">
        <v>70</v>
      </c>
      <c r="E6" t="s">
        <v>71</v>
      </c>
      <c r="F6" t="s">
        <v>22</v>
      </c>
      <c r="G6" t="s">
        <v>72</v>
      </c>
      <c r="H6" t="s">
        <v>73</v>
      </c>
      <c r="I6" t="s">
        <v>74</v>
      </c>
      <c r="J6" t="s">
        <v>38</v>
      </c>
      <c r="K6" t="s">
        <v>75</v>
      </c>
      <c r="L6">
        <v>2018</v>
      </c>
      <c r="M6" t="s">
        <v>76</v>
      </c>
      <c r="N6" t="s">
        <v>19</v>
      </c>
      <c r="O6" t="s">
        <v>77</v>
      </c>
      <c r="P6" t="s">
        <v>78</v>
      </c>
      <c r="Q6" t="s">
        <v>79</v>
      </c>
      <c r="R6" t="s">
        <v>80</v>
      </c>
    </row>
    <row r="7" spans="1:18">
      <c r="A7" s="2" t="str">
        <f>HYPERLINK("https://investorlist.com/investor/nuwa-capital?ref=Excel_ViewProfile","View Profile")</f>
        <v>View Profile</v>
      </c>
      <c r="B7" t="s">
        <v>81</v>
      </c>
      <c r="C7" t="s">
        <v>19</v>
      </c>
      <c r="D7" t="s">
        <v>82</v>
      </c>
      <c r="E7" t="s">
        <v>71</v>
      </c>
      <c r="F7" t="s">
        <v>22</v>
      </c>
      <c r="G7" t="s">
        <v>83</v>
      </c>
      <c r="H7" t="s">
        <v>84</v>
      </c>
      <c r="I7" t="s">
        <v>85</v>
      </c>
      <c r="J7" t="s">
        <v>38</v>
      </c>
      <c r="K7" t="s">
        <v>86</v>
      </c>
      <c r="L7">
        <v>2020</v>
      </c>
      <c r="M7" t="s">
        <v>87</v>
      </c>
      <c r="N7" t="s">
        <v>19</v>
      </c>
      <c r="O7" t="s">
        <v>88</v>
      </c>
      <c r="P7" t="s">
        <v>89</v>
      </c>
      <c r="Q7" t="s">
        <v>38</v>
      </c>
      <c r="R7" t="s">
        <v>90</v>
      </c>
    </row>
    <row r="8" spans="1:18">
      <c r="A8" s="2" t="str">
        <f>HYPERLINK("https://investorlist.com/investor/cotu-ventures?ref=Excel_ViewProfile","View Profile")</f>
        <v>View Profile</v>
      </c>
      <c r="B8" t="s">
        <v>91</v>
      </c>
      <c r="C8" t="s">
        <v>19</v>
      </c>
      <c r="D8" t="s">
        <v>92</v>
      </c>
      <c r="E8" t="s">
        <v>71</v>
      </c>
      <c r="F8" t="s">
        <v>22</v>
      </c>
      <c r="G8" t="s">
        <v>93</v>
      </c>
      <c r="H8" t="s">
        <v>94</v>
      </c>
      <c r="I8" t="s">
        <v>95</v>
      </c>
      <c r="J8" t="s">
        <v>38</v>
      </c>
      <c r="K8" t="s">
        <v>96</v>
      </c>
      <c r="L8">
        <v>2021</v>
      </c>
      <c r="M8" t="s">
        <v>97</v>
      </c>
      <c r="N8" t="s">
        <v>19</v>
      </c>
      <c r="O8" t="s">
        <v>98</v>
      </c>
      <c r="P8" t="s">
        <v>99</v>
      </c>
      <c r="Q8" t="s">
        <v>100</v>
      </c>
      <c r="R8" t="s">
        <v>101</v>
      </c>
    </row>
    <row r="9" spans="1:18">
      <c r="A9" s="2" t="str">
        <f>HYPERLINK("https://investorlist.com/investor/jabbar-internet-group?ref=Excel_ViewProfile","View Profile")</f>
        <v>View Profile</v>
      </c>
      <c r="B9" t="s">
        <v>102</v>
      </c>
      <c r="C9" t="s">
        <v>19</v>
      </c>
      <c r="D9" t="s">
        <v>92</v>
      </c>
      <c r="E9" t="s">
        <v>71</v>
      </c>
      <c r="F9" t="s">
        <v>22</v>
      </c>
      <c r="G9" t="s">
        <v>103</v>
      </c>
      <c r="H9" t="s">
        <v>104</v>
      </c>
      <c r="I9" t="s">
        <v>105</v>
      </c>
      <c r="J9" t="s">
        <v>38</v>
      </c>
      <c r="K9" t="s">
        <v>106</v>
      </c>
      <c r="L9">
        <v>2009</v>
      </c>
      <c r="M9" t="s">
        <v>107</v>
      </c>
      <c r="N9" t="s">
        <v>19</v>
      </c>
      <c r="O9" t="s">
        <v>108</v>
      </c>
      <c r="P9" t="s">
        <v>109</v>
      </c>
      <c r="Q9" t="s">
        <v>110</v>
      </c>
      <c r="R9" t="s">
        <v>111</v>
      </c>
    </row>
    <row r="10" spans="1:18">
      <c r="A10" s="2" t="str">
        <f>HYPERLINK("https://investorlist.com/investor/fikra-ventures?ref=Excel_ViewProfile","View Profile")</f>
        <v>View Profile</v>
      </c>
      <c r="B10" t="s">
        <v>112</v>
      </c>
      <c r="C10" t="s">
        <v>19</v>
      </c>
      <c r="D10" t="s">
        <v>113</v>
      </c>
      <c r="E10" t="s">
        <v>71</v>
      </c>
      <c r="F10" t="s">
        <v>22</v>
      </c>
      <c r="G10" t="s">
        <v>114</v>
      </c>
      <c r="H10" t="s">
        <v>115</v>
      </c>
      <c r="I10" t="s">
        <v>116</v>
      </c>
      <c r="J10" t="s">
        <v>38</v>
      </c>
      <c r="K10" t="s">
        <v>117</v>
      </c>
      <c r="L10">
        <v>2025</v>
      </c>
      <c r="M10" t="s">
        <v>118</v>
      </c>
      <c r="N10" t="s">
        <v>119</v>
      </c>
      <c r="O10" t="s">
        <v>120</v>
      </c>
      <c r="P10" t="s">
        <v>121</v>
      </c>
      <c r="Q10" t="s">
        <v>122</v>
      </c>
      <c r="R10" t="s">
        <v>123</v>
      </c>
    </row>
    <row r="11" spans="1:18">
      <c r="A11" s="2" t="str">
        <f>HYPERLINK("https://investorlist.com/investor/al-maktoum-foundation?ref=Excel_ViewProfile","View Profile")</f>
        <v>View Profile</v>
      </c>
      <c r="B11" t="s">
        <v>124</v>
      </c>
      <c r="C11" t="s">
        <v>35</v>
      </c>
      <c r="D11" t="s">
        <v>125</v>
      </c>
      <c r="E11" t="s">
        <v>71</v>
      </c>
      <c r="F11" t="s">
        <v>22</v>
      </c>
      <c r="G11" t="s">
        <v>126</v>
      </c>
      <c r="H11" t="s">
        <v>38</v>
      </c>
      <c r="I11" t="s">
        <v>127</v>
      </c>
      <c r="J11" t="s">
        <v>128</v>
      </c>
      <c r="K11" t="s">
        <v>129</v>
      </c>
      <c r="L11">
        <v>1997</v>
      </c>
      <c r="M11" t="s">
        <v>130</v>
      </c>
      <c r="N11" t="s">
        <v>131</v>
      </c>
      <c r="O11" t="s">
        <v>132</v>
      </c>
      <c r="P11" t="s">
        <v>133</v>
      </c>
      <c r="Q11" t="s">
        <v>134</v>
      </c>
      <c r="R11" t="s">
        <v>38</v>
      </c>
    </row>
    <row r="12" spans="1:18">
      <c r="A12" s="2" t="str">
        <f>HYPERLINK("https://investorlist.com/investor/rasmala-investment-bank-limited?ref=Excel_ViewProfile","View Profile")</f>
        <v>View Profile</v>
      </c>
      <c r="B12" t="s">
        <v>135</v>
      </c>
      <c r="C12" t="s">
        <v>136</v>
      </c>
      <c r="D12" t="s">
        <v>137</v>
      </c>
      <c r="E12" t="s">
        <v>38</v>
      </c>
      <c r="F12" t="s">
        <v>22</v>
      </c>
      <c r="G12" t="s">
        <v>138</v>
      </c>
      <c r="H12" t="s">
        <v>139</v>
      </c>
      <c r="I12" t="s">
        <v>140</v>
      </c>
      <c r="J12" t="s">
        <v>141</v>
      </c>
      <c r="K12" t="s">
        <v>142</v>
      </c>
      <c r="L12">
        <v>1999</v>
      </c>
      <c r="M12" t="s">
        <v>143</v>
      </c>
      <c r="N12" t="s">
        <v>144</v>
      </c>
      <c r="O12" t="s">
        <v>145</v>
      </c>
      <c r="P12" t="s">
        <v>146</v>
      </c>
      <c r="Q12" t="s">
        <v>147</v>
      </c>
      <c r="R12" t="s">
        <v>148</v>
      </c>
    </row>
    <row r="13" spans="1:18">
      <c r="A13" s="2" t="str">
        <f>HYPERLINK("https://investorlist.com/investor/fujairah-investment-establishment?ref=Excel_ViewProfile","View Profile")</f>
        <v>View Profile</v>
      </c>
      <c r="B13" t="s">
        <v>149</v>
      </c>
      <c r="C13" t="s">
        <v>150</v>
      </c>
      <c r="D13" t="s">
        <v>151</v>
      </c>
      <c r="E13" t="s">
        <v>152</v>
      </c>
      <c r="F13" t="s">
        <v>22</v>
      </c>
      <c r="G13" t="s">
        <v>38</v>
      </c>
      <c r="H13" t="s">
        <v>38</v>
      </c>
      <c r="I13" t="s">
        <v>38</v>
      </c>
      <c r="J13" t="s">
        <v>153</v>
      </c>
      <c r="K13" t="s">
        <v>154</v>
      </c>
      <c r="L13">
        <v>1982</v>
      </c>
      <c r="M13" t="s">
        <v>155</v>
      </c>
      <c r="N13" t="s">
        <v>156</v>
      </c>
      <c r="O13" t="s">
        <v>157</v>
      </c>
      <c r="P13" t="s">
        <v>158</v>
      </c>
      <c r="Q13" t="s">
        <v>159</v>
      </c>
      <c r="R13" t="s">
        <v>160</v>
      </c>
    </row>
    <row r="14" spans="1:18">
      <c r="A14" s="2" t="str">
        <f>HYPERLINK("https://investorlist.com/investor/landmark-group-family-investment-office?ref=Excel_ViewProfile","View Profile")</f>
        <v>View Profile</v>
      </c>
      <c r="B14" t="s">
        <v>161</v>
      </c>
      <c r="C14" t="s">
        <v>162</v>
      </c>
      <c r="D14" t="s">
        <v>163</v>
      </c>
      <c r="E14" t="s">
        <v>71</v>
      </c>
      <c r="F14" t="s">
        <v>22</v>
      </c>
      <c r="G14" t="s">
        <v>164</v>
      </c>
      <c r="H14" t="s">
        <v>38</v>
      </c>
      <c r="I14" t="s">
        <v>38</v>
      </c>
      <c r="J14" t="s">
        <v>165</v>
      </c>
      <c r="K14" t="s">
        <v>166</v>
      </c>
      <c r="L14">
        <v>2014</v>
      </c>
      <c r="M14" t="s">
        <v>155</v>
      </c>
      <c r="N14" t="s">
        <v>167</v>
      </c>
      <c r="O14" t="s">
        <v>168</v>
      </c>
      <c r="P14" t="s">
        <v>169</v>
      </c>
      <c r="Q14" t="s">
        <v>170</v>
      </c>
      <c r="R14" t="s">
        <v>171</v>
      </c>
    </row>
    <row r="15" spans="1:18">
      <c r="A15" s="2" t="str">
        <f>HYPERLINK("https://investorlist.com/investor/emirates-family-office-association?ref=Excel_ViewProfile","View Profile")</f>
        <v>View Profile</v>
      </c>
      <c r="B15" t="s">
        <v>172</v>
      </c>
      <c r="C15" t="s">
        <v>162</v>
      </c>
      <c r="D15" t="s">
        <v>92</v>
      </c>
      <c r="E15" t="s">
        <v>71</v>
      </c>
      <c r="F15" t="s">
        <v>22</v>
      </c>
      <c r="G15" t="s">
        <v>173</v>
      </c>
      <c r="H15" t="s">
        <v>38</v>
      </c>
      <c r="I15" t="s">
        <v>174</v>
      </c>
      <c r="J15" t="s">
        <v>38</v>
      </c>
      <c r="K15" t="s">
        <v>175</v>
      </c>
      <c r="L15">
        <v>2023</v>
      </c>
      <c r="M15" t="s">
        <v>28</v>
      </c>
      <c r="N15" t="s">
        <v>176</v>
      </c>
      <c r="O15" t="s">
        <v>177</v>
      </c>
      <c r="P15" t="s">
        <v>178</v>
      </c>
      <c r="Q15" t="s">
        <v>179</v>
      </c>
      <c r="R15" t="s">
        <v>38</v>
      </c>
    </row>
    <row r="16" spans="1:18">
      <c r="A16" s="2" t="str">
        <f>HYPERLINK("https://investorlist.com/investor/dubai-investments-pjsc?ref=Excel_ViewProfile","View Profile")</f>
        <v>View Profile</v>
      </c>
      <c r="B16" t="s">
        <v>180</v>
      </c>
      <c r="C16" t="s">
        <v>181</v>
      </c>
      <c r="D16" t="s">
        <v>182</v>
      </c>
      <c r="E16" t="s">
        <v>71</v>
      </c>
      <c r="F16" t="s">
        <v>22</v>
      </c>
      <c r="G16" t="s">
        <v>183</v>
      </c>
      <c r="H16" t="s">
        <v>184</v>
      </c>
      <c r="I16" t="s">
        <v>185</v>
      </c>
      <c r="J16" t="s">
        <v>186</v>
      </c>
      <c r="K16" t="s">
        <v>187</v>
      </c>
      <c r="L16">
        <v>1995</v>
      </c>
      <c r="M16" t="s">
        <v>188</v>
      </c>
      <c r="N16" t="s">
        <v>189</v>
      </c>
      <c r="O16" t="s">
        <v>190</v>
      </c>
      <c r="P16" t="s">
        <v>191</v>
      </c>
      <c r="Q16" t="s">
        <v>192</v>
      </c>
      <c r="R16" t="s">
        <v>193</v>
      </c>
    </row>
    <row r="17" spans="1:18">
      <c r="A17" s="2" t="str">
        <f>HYPERLINK("https://investorlist.com/investor/gates-foundation-trust?ref=Excel_ViewProfile","View Profile")</f>
        <v>View Profile</v>
      </c>
      <c r="B17" t="s">
        <v>194</v>
      </c>
      <c r="C17" t="s">
        <v>195</v>
      </c>
      <c r="D17" t="s">
        <v>196</v>
      </c>
      <c r="E17" t="s">
        <v>197</v>
      </c>
      <c r="F17" t="s">
        <v>198</v>
      </c>
      <c r="G17" t="s">
        <v>199</v>
      </c>
      <c r="H17" t="s">
        <v>38</v>
      </c>
      <c r="I17" t="s">
        <v>200</v>
      </c>
      <c r="J17" t="s">
        <v>38</v>
      </c>
      <c r="K17" t="s">
        <v>201</v>
      </c>
      <c r="L17">
        <v>2006</v>
      </c>
      <c r="M17" t="s">
        <v>202</v>
      </c>
      <c r="N17" t="s">
        <v>203</v>
      </c>
      <c r="O17" t="s">
        <v>204</v>
      </c>
      <c r="P17" t="s">
        <v>205</v>
      </c>
      <c r="Q17" t="s">
        <v>206</v>
      </c>
      <c r="R17" t="s">
        <v>207</v>
      </c>
    </row>
    <row r="18" spans="1:18">
      <c r="A18" s="2" t="str">
        <f>HYPERLINK("https://investorlist.com/investor/l-catterton-asia?ref=Excel_ViewProfile","View Profile")</f>
        <v>View Profile</v>
      </c>
      <c r="B18" t="s">
        <v>208</v>
      </c>
      <c r="C18" t="s">
        <v>181</v>
      </c>
      <c r="D18" t="s">
        <v>209</v>
      </c>
      <c r="E18" t="s">
        <v>38</v>
      </c>
      <c r="F18" t="s">
        <v>210</v>
      </c>
      <c r="G18" t="s">
        <v>211</v>
      </c>
      <c r="H18" t="s">
        <v>212</v>
      </c>
      <c r="I18" t="s">
        <v>213</v>
      </c>
      <c r="J18" t="s">
        <v>214</v>
      </c>
      <c r="K18" t="s">
        <v>215</v>
      </c>
      <c r="L18">
        <v>2009</v>
      </c>
      <c r="M18" t="s">
        <v>216</v>
      </c>
      <c r="N18" t="s">
        <v>217</v>
      </c>
      <c r="O18" t="s">
        <v>218</v>
      </c>
      <c r="P18" t="s">
        <v>219</v>
      </c>
      <c r="Q18" t="s">
        <v>220</v>
      </c>
      <c r="R18" t="s">
        <v>221</v>
      </c>
    </row>
    <row r="19" spans="1:18">
      <c r="A19" s="2" t="str">
        <f>HYPERLINK("https://investorlist.com/investor/ant-financial?ref=Excel_ViewProfile","View Profile")</f>
        <v>View Profile</v>
      </c>
      <c r="B19" t="s">
        <v>222</v>
      </c>
      <c r="C19" t="s">
        <v>19</v>
      </c>
      <c r="D19" t="s">
        <v>223</v>
      </c>
      <c r="E19" t="s">
        <v>224</v>
      </c>
      <c r="F19" t="s">
        <v>225</v>
      </c>
      <c r="G19" t="s">
        <v>226</v>
      </c>
      <c r="H19" t="s">
        <v>38</v>
      </c>
      <c r="I19" t="s">
        <v>227</v>
      </c>
      <c r="J19" t="s">
        <v>38</v>
      </c>
      <c r="K19" t="s">
        <v>228</v>
      </c>
      <c r="L19">
        <v>2014</v>
      </c>
      <c r="M19" t="s">
        <v>229</v>
      </c>
      <c r="N19" t="s">
        <v>230</v>
      </c>
      <c r="O19" t="s">
        <v>231</v>
      </c>
      <c r="P19" t="s">
        <v>232</v>
      </c>
      <c r="Q19" t="s">
        <v>233</v>
      </c>
      <c r="R19" t="s">
        <v>234</v>
      </c>
    </row>
    <row r="20" spans="1:18">
      <c r="A20" s="2" t="str">
        <f>HYPERLINK("https://investorlist.com/investor/cedar-mundi-ventures?ref=Excel_ViewProfile","View Profile")</f>
        <v>View Profile</v>
      </c>
      <c r="B20" t="s">
        <v>235</v>
      </c>
      <c r="C20" t="s">
        <v>19</v>
      </c>
      <c r="D20" t="s">
        <v>236</v>
      </c>
      <c r="E20" t="s">
        <v>237</v>
      </c>
      <c r="F20" t="s">
        <v>238</v>
      </c>
      <c r="G20" t="s">
        <v>239</v>
      </c>
      <c r="H20" t="s">
        <v>240</v>
      </c>
      <c r="I20" t="s">
        <v>241</v>
      </c>
      <c r="J20" t="s">
        <v>242</v>
      </c>
      <c r="K20" t="s">
        <v>243</v>
      </c>
      <c r="L20">
        <v>2016</v>
      </c>
      <c r="M20" t="s">
        <v>244</v>
      </c>
      <c r="N20" t="s">
        <v>19</v>
      </c>
      <c r="O20" t="s">
        <v>245</v>
      </c>
      <c r="P20" t="s">
        <v>246</v>
      </c>
      <c r="Q20" t="s">
        <v>247</v>
      </c>
      <c r="R20" t="s">
        <v>248</v>
      </c>
    </row>
    <row r="21" spans="1:18">
      <c r="A21" s="2" t="str">
        <f>HYPERLINK("https://investorlist.com/investor/hsbc-bank-malaysia-berhad?ref=Excel_ViewProfile","View Profile")</f>
        <v>View Profile</v>
      </c>
      <c r="B21" t="s">
        <v>249</v>
      </c>
      <c r="C21" t="s">
        <v>250</v>
      </c>
      <c r="D21" t="s">
        <v>251</v>
      </c>
      <c r="E21" t="s">
        <v>252</v>
      </c>
      <c r="F21" t="s">
        <v>253</v>
      </c>
      <c r="G21" t="s">
        <v>254</v>
      </c>
      <c r="H21" t="s">
        <v>255</v>
      </c>
      <c r="I21" t="s">
        <v>256</v>
      </c>
      <c r="J21" t="s">
        <v>257</v>
      </c>
      <c r="K21" t="s">
        <v>258</v>
      </c>
      <c r="L21" t="s">
        <v>38</v>
      </c>
      <c r="M21" t="s">
        <v>130</v>
      </c>
      <c r="N21" t="s">
        <v>259</v>
      </c>
      <c r="O21" t="s">
        <v>260</v>
      </c>
      <c r="P21" t="s">
        <v>261</v>
      </c>
      <c r="Q21" t="s">
        <v>262</v>
      </c>
      <c r="R21" t="s">
        <v>38</v>
      </c>
    </row>
    <row r="22" spans="1:18">
      <c r="A22" s="2" t="str">
        <f>HYPERLINK("https://investorlist.com/investor/efg-holding?ref=Excel_ViewProfile","View Profile")</f>
        <v>View Profile</v>
      </c>
      <c r="B22" t="s">
        <v>263</v>
      </c>
      <c r="C22" t="s">
        <v>181</v>
      </c>
      <c r="D22" t="s">
        <v>264</v>
      </c>
      <c r="E22" t="s">
        <v>264</v>
      </c>
      <c r="F22" t="s">
        <v>265</v>
      </c>
      <c r="G22" t="s">
        <v>266</v>
      </c>
      <c r="H22" t="s">
        <v>267</v>
      </c>
      <c r="I22" t="s">
        <v>268</v>
      </c>
      <c r="J22" t="s">
        <v>269</v>
      </c>
      <c r="K22" t="s">
        <v>270</v>
      </c>
      <c r="L22" t="s">
        <v>38</v>
      </c>
      <c r="M22" t="s">
        <v>229</v>
      </c>
      <c r="N22" t="s">
        <v>271</v>
      </c>
      <c r="O22" t="s">
        <v>272</v>
      </c>
      <c r="P22" t="s">
        <v>273</v>
      </c>
      <c r="Q22" t="s">
        <v>274</v>
      </c>
      <c r="R22" t="s">
        <v>38</v>
      </c>
    </row>
    <row r="23" spans="1:18">
      <c r="A23" s="2" t="str">
        <f>HYPERLINK("https://investorlist.com/investor/emaar-properties?ref=Excel_ViewProfile","View Profile")</f>
        <v>View Profile</v>
      </c>
      <c r="B23" t="s">
        <v>275</v>
      </c>
      <c r="C23" t="s">
        <v>250</v>
      </c>
      <c r="D23" t="s">
        <v>276</v>
      </c>
      <c r="E23" t="s">
        <v>71</v>
      </c>
      <c r="F23" t="s">
        <v>22</v>
      </c>
      <c r="G23" t="s">
        <v>277</v>
      </c>
      <c r="H23" t="s">
        <v>278</v>
      </c>
      <c r="I23" t="s">
        <v>279</v>
      </c>
      <c r="J23" t="s">
        <v>280</v>
      </c>
      <c r="K23" t="s">
        <v>281</v>
      </c>
      <c r="L23" t="s">
        <v>38</v>
      </c>
      <c r="M23" t="s">
        <v>282</v>
      </c>
      <c r="N23" t="s">
        <v>283</v>
      </c>
      <c r="O23" t="s">
        <v>284</v>
      </c>
      <c r="P23" t="s">
        <v>285</v>
      </c>
      <c r="Q23" t="s">
        <v>286</v>
      </c>
      <c r="R23" t="s">
        <v>38</v>
      </c>
    </row>
    <row r="24" spans="1:18">
      <c r="A24" s="2" t="str">
        <f>HYPERLINK("https://investorlist.com/investor/markaz-real-estate-fund?ref=Excel_ViewProfile","View Profile")</f>
        <v>View Profile</v>
      </c>
      <c r="B24" t="s">
        <v>287</v>
      </c>
      <c r="C24" t="s">
        <v>181</v>
      </c>
      <c r="D24" t="s">
        <v>288</v>
      </c>
      <c r="E24" t="s">
        <v>45</v>
      </c>
      <c r="F24" t="s">
        <v>46</v>
      </c>
      <c r="G24" t="s">
        <v>289</v>
      </c>
      <c r="H24" t="s">
        <v>38</v>
      </c>
      <c r="I24" t="s">
        <v>290</v>
      </c>
      <c r="J24" t="s">
        <v>291</v>
      </c>
      <c r="K24" t="s">
        <v>292</v>
      </c>
      <c r="L24">
        <v>2002</v>
      </c>
      <c r="M24" t="s">
        <v>293</v>
      </c>
      <c r="N24" t="s">
        <v>294</v>
      </c>
      <c r="O24" t="s">
        <v>295</v>
      </c>
      <c r="P24" t="s">
        <v>296</v>
      </c>
      <c r="Q24" t="s">
        <v>297</v>
      </c>
      <c r="R24" t="s">
        <v>298</v>
      </c>
    </row>
    <row r="25" spans="1:18">
      <c r="A25" s="2" t="str">
        <f>HYPERLINK("https://investorlist.com/investor/kingdom-holding-company?ref=Excel_ViewProfile","View Profile")</f>
        <v>View Profile</v>
      </c>
      <c r="B25" t="s">
        <v>299</v>
      </c>
      <c r="C25" t="s">
        <v>136</v>
      </c>
      <c r="D25" t="s">
        <v>300</v>
      </c>
      <c r="E25" t="s">
        <v>38</v>
      </c>
      <c r="F25" t="s">
        <v>301</v>
      </c>
      <c r="G25" t="s">
        <v>302</v>
      </c>
      <c r="H25" t="s">
        <v>303</v>
      </c>
      <c r="I25" t="s">
        <v>38</v>
      </c>
      <c r="J25" t="s">
        <v>38</v>
      </c>
      <c r="K25" t="s">
        <v>304</v>
      </c>
      <c r="L25">
        <v>1980</v>
      </c>
      <c r="M25" t="s">
        <v>130</v>
      </c>
      <c r="N25" t="s">
        <v>305</v>
      </c>
      <c r="O25" t="s">
        <v>306</v>
      </c>
      <c r="P25" t="s">
        <v>307</v>
      </c>
      <c r="Q25" t="s">
        <v>308</v>
      </c>
      <c r="R25" t="s">
        <v>309</v>
      </c>
    </row>
    <row r="26" spans="1:18">
      <c r="A26" s="2" t="str">
        <f>HYPERLINK("https://investorlist.com/investor/rise-capital?ref=Excel_ViewProfile","View Profile")</f>
        <v>View Profile</v>
      </c>
      <c r="B26" t="s">
        <v>310</v>
      </c>
      <c r="C26" t="s">
        <v>19</v>
      </c>
      <c r="D26" t="s">
        <v>311</v>
      </c>
      <c r="E26" t="s">
        <v>312</v>
      </c>
      <c r="F26" t="s">
        <v>198</v>
      </c>
      <c r="G26" t="s">
        <v>313</v>
      </c>
      <c r="H26" t="s">
        <v>38</v>
      </c>
      <c r="I26" t="s">
        <v>314</v>
      </c>
      <c r="J26" t="s">
        <v>315</v>
      </c>
      <c r="K26" t="s">
        <v>316</v>
      </c>
      <c r="L26">
        <v>2013</v>
      </c>
      <c r="M26" t="s">
        <v>317</v>
      </c>
      <c r="N26" t="s">
        <v>19</v>
      </c>
      <c r="O26" t="s">
        <v>318</v>
      </c>
      <c r="P26" t="s">
        <v>319</v>
      </c>
      <c r="Q26" t="s">
        <v>320</v>
      </c>
      <c r="R26" t="s">
        <v>321</v>
      </c>
    </row>
    <row r="27" spans="1:18">
      <c r="A27" s="2" t="str">
        <f>HYPERLINK("https://investorlist.com/investor/endeavor-catalyst?ref=Excel_ViewProfile","View Profile")</f>
        <v>View Profile</v>
      </c>
      <c r="B27" t="s">
        <v>322</v>
      </c>
      <c r="C27" t="s">
        <v>19</v>
      </c>
      <c r="D27" t="s">
        <v>323</v>
      </c>
      <c r="E27" t="s">
        <v>324</v>
      </c>
      <c r="F27" t="s">
        <v>198</v>
      </c>
      <c r="G27" t="s">
        <v>325</v>
      </c>
      <c r="H27" t="s">
        <v>326</v>
      </c>
      <c r="I27" t="s">
        <v>327</v>
      </c>
      <c r="J27" t="s">
        <v>328</v>
      </c>
      <c r="K27" t="s">
        <v>329</v>
      </c>
      <c r="L27">
        <v>2012</v>
      </c>
      <c r="M27" t="s">
        <v>330</v>
      </c>
      <c r="N27" t="s">
        <v>19</v>
      </c>
      <c r="O27" t="s">
        <v>331</v>
      </c>
      <c r="P27" t="s">
        <v>332</v>
      </c>
      <c r="Q27" t="s">
        <v>333</v>
      </c>
      <c r="R27" t="s">
        <v>334</v>
      </c>
    </row>
    <row r="28" spans="1:18">
      <c r="A28" s="2" t="str">
        <f>HYPERLINK("https://investorlist.com/investor/international-finance-corporation?ref=Excel_ViewProfile","View Profile")</f>
        <v>View Profile</v>
      </c>
      <c r="B28" t="s">
        <v>335</v>
      </c>
      <c r="C28" t="s">
        <v>250</v>
      </c>
      <c r="D28" t="s">
        <v>336</v>
      </c>
      <c r="E28" t="s">
        <v>337</v>
      </c>
      <c r="F28" t="s">
        <v>198</v>
      </c>
      <c r="G28" t="s">
        <v>338</v>
      </c>
      <c r="H28" t="s">
        <v>339</v>
      </c>
      <c r="I28" t="s">
        <v>340</v>
      </c>
      <c r="J28" t="s">
        <v>341</v>
      </c>
      <c r="K28" t="s">
        <v>342</v>
      </c>
      <c r="L28">
        <v>1956</v>
      </c>
      <c r="M28" t="s">
        <v>343</v>
      </c>
      <c r="N28" t="s">
        <v>344</v>
      </c>
      <c r="O28" t="s">
        <v>345</v>
      </c>
      <c r="P28" t="s">
        <v>346</v>
      </c>
      <c r="Q28" t="s">
        <v>347</v>
      </c>
      <c r="R28" t="s">
        <v>348</v>
      </c>
    </row>
    <row r="29" spans="1:18">
      <c r="A29" s="2" t="str">
        <f>HYPERLINK("https://investorlist.com/investor/arzan-vc?ref=Excel_ViewProfile","View Profile")</f>
        <v>View Profile</v>
      </c>
      <c r="B29" t="s">
        <v>349</v>
      </c>
      <c r="C29" t="s">
        <v>19</v>
      </c>
      <c r="D29" t="s">
        <v>350</v>
      </c>
      <c r="E29" t="s">
        <v>351</v>
      </c>
      <c r="F29" t="s">
        <v>46</v>
      </c>
      <c r="G29" t="s">
        <v>47</v>
      </c>
      <c r="H29" t="s">
        <v>352</v>
      </c>
      <c r="I29" t="s">
        <v>49</v>
      </c>
      <c r="J29" t="s">
        <v>50</v>
      </c>
      <c r="K29" t="s">
        <v>353</v>
      </c>
      <c r="L29">
        <v>2013</v>
      </c>
      <c r="M29" t="s">
        <v>52</v>
      </c>
      <c r="N29" t="s">
        <v>19</v>
      </c>
      <c r="O29" t="s">
        <v>354</v>
      </c>
      <c r="P29" t="s">
        <v>355</v>
      </c>
      <c r="Q29" t="s">
        <v>356</v>
      </c>
      <c r="R29" t="s">
        <v>357</v>
      </c>
    </row>
    <row r="30" spans="1:18">
      <c r="A30" s="2" t="str">
        <f>HYPERLINK("https://investorlist.com/investor/british-international-investment?ref=Excel_ViewProfile","View Profile")</f>
        <v>View Profile</v>
      </c>
      <c r="B30" t="s">
        <v>358</v>
      </c>
      <c r="C30" t="s">
        <v>250</v>
      </c>
      <c r="D30" t="s">
        <v>359</v>
      </c>
      <c r="E30" t="s">
        <v>38</v>
      </c>
      <c r="F30" t="s">
        <v>360</v>
      </c>
      <c r="G30" t="s">
        <v>361</v>
      </c>
      <c r="H30" t="s">
        <v>362</v>
      </c>
      <c r="I30" t="s">
        <v>363</v>
      </c>
      <c r="J30" t="s">
        <v>364</v>
      </c>
      <c r="K30" t="s">
        <v>365</v>
      </c>
      <c r="L30">
        <v>1948</v>
      </c>
      <c r="M30" t="s">
        <v>28</v>
      </c>
      <c r="N30" t="s">
        <v>366</v>
      </c>
      <c r="O30" t="s">
        <v>367</v>
      </c>
      <c r="P30" t="s">
        <v>368</v>
      </c>
      <c r="Q30" t="s">
        <v>369</v>
      </c>
      <c r="R30" t="s">
        <v>370</v>
      </c>
    </row>
    <row r="31" spans="1:18">
      <c r="A31" s="2" t="str">
        <f>HYPERLINK("https://investorlist.com/investor/rasameel-investment-company?ref=Excel_ViewProfile","View Profile")</f>
        <v>View Profile</v>
      </c>
      <c r="B31" t="s">
        <v>371</v>
      </c>
      <c r="C31" t="s">
        <v>136</v>
      </c>
      <c r="D31" t="s">
        <v>372</v>
      </c>
      <c r="E31" t="s">
        <v>373</v>
      </c>
      <c r="F31" t="s">
        <v>46</v>
      </c>
      <c r="G31" t="s">
        <v>374</v>
      </c>
      <c r="H31" t="s">
        <v>375</v>
      </c>
      <c r="I31" t="s">
        <v>376</v>
      </c>
      <c r="J31" t="s">
        <v>377</v>
      </c>
      <c r="K31" t="s">
        <v>378</v>
      </c>
      <c r="L31">
        <v>2006</v>
      </c>
      <c r="M31" t="s">
        <v>379</v>
      </c>
      <c r="N31" t="s">
        <v>380</v>
      </c>
      <c r="O31" t="s">
        <v>381</v>
      </c>
      <c r="P31" t="s">
        <v>382</v>
      </c>
      <c r="Q31" t="s">
        <v>383</v>
      </c>
      <c r="R31" t="s">
        <v>384</v>
      </c>
    </row>
    <row r="32" spans="1:18">
      <c r="A32" s="2" t="str">
        <f>HYPERLINK("https://investorlist.com/investor/dubai-cultiv8?ref=Excel_ViewProfile","View Profile")</f>
        <v>View Profile</v>
      </c>
      <c r="B32" t="s">
        <v>385</v>
      </c>
      <c r="C32" t="s">
        <v>136</v>
      </c>
      <c r="D32" t="s">
        <v>386</v>
      </c>
      <c r="E32" t="s">
        <v>71</v>
      </c>
      <c r="F32" t="s">
        <v>22</v>
      </c>
      <c r="G32" t="s">
        <v>387</v>
      </c>
      <c r="H32" t="s">
        <v>388</v>
      </c>
      <c r="I32" t="s">
        <v>389</v>
      </c>
      <c r="J32" t="s">
        <v>390</v>
      </c>
      <c r="K32" t="s">
        <v>391</v>
      </c>
      <c r="L32">
        <v>2018</v>
      </c>
      <c r="M32" t="s">
        <v>229</v>
      </c>
      <c r="N32" t="s">
        <v>392</v>
      </c>
      <c r="O32" t="s">
        <v>393</v>
      </c>
      <c r="P32" t="s">
        <v>394</v>
      </c>
      <c r="Q32" t="s">
        <v>395</v>
      </c>
      <c r="R32" t="s">
        <v>396</v>
      </c>
    </row>
    <row r="33" spans="1:18">
      <c r="A33" s="2" t="str">
        <f>HYPERLINK("https://investorlist.com/investor/aaic-investment-pte-ltd?ref=Excel_ViewProfile","View Profile")</f>
        <v>View Profile</v>
      </c>
      <c r="B33" t="s">
        <v>397</v>
      </c>
      <c r="C33" t="s">
        <v>136</v>
      </c>
      <c r="D33" t="s">
        <v>398</v>
      </c>
      <c r="E33" t="s">
        <v>399</v>
      </c>
      <c r="F33" t="s">
        <v>210</v>
      </c>
      <c r="G33" t="s">
        <v>400</v>
      </c>
      <c r="H33" t="s">
        <v>401</v>
      </c>
      <c r="I33" t="s">
        <v>402</v>
      </c>
      <c r="J33" t="s">
        <v>403</v>
      </c>
      <c r="K33" t="s">
        <v>404</v>
      </c>
      <c r="L33">
        <v>2013</v>
      </c>
      <c r="M33" t="s">
        <v>405</v>
      </c>
      <c r="N33" t="s">
        <v>406</v>
      </c>
      <c r="O33" t="s">
        <v>407</v>
      </c>
      <c r="P33" t="s">
        <v>408</v>
      </c>
      <c r="Q33" t="s">
        <v>409</v>
      </c>
      <c r="R33" t="s">
        <v>410</v>
      </c>
    </row>
    <row r="34" spans="1:18">
      <c r="A34" s="2" t="str">
        <f>HYPERLINK("https://investorlist.com/investor/dallah-albaraka-holding-company?ref=Excel_ViewProfile","View Profile")</f>
        <v>View Profile</v>
      </c>
      <c r="B34" t="s">
        <v>411</v>
      </c>
      <c r="C34" t="s">
        <v>181</v>
      </c>
      <c r="D34" t="s">
        <v>412</v>
      </c>
      <c r="E34" t="s">
        <v>413</v>
      </c>
      <c r="F34" t="s">
        <v>301</v>
      </c>
      <c r="G34" t="s">
        <v>414</v>
      </c>
      <c r="H34" t="s">
        <v>38</v>
      </c>
      <c r="I34" t="s">
        <v>415</v>
      </c>
      <c r="J34" t="s">
        <v>416</v>
      </c>
      <c r="K34" t="s">
        <v>417</v>
      </c>
      <c r="L34">
        <v>1969</v>
      </c>
      <c r="M34" t="s">
        <v>188</v>
      </c>
      <c r="N34" t="s">
        <v>418</v>
      </c>
      <c r="O34" t="s">
        <v>419</v>
      </c>
      <c r="P34" t="s">
        <v>420</v>
      </c>
      <c r="Q34" t="s">
        <v>421</v>
      </c>
      <c r="R34" t="s">
        <v>422</v>
      </c>
    </row>
    <row r="35" spans="1:18">
      <c r="A35" s="2" t="str">
        <f>HYPERLINK("https://investorlist.com/investor/500-global?ref=Excel_ViewProfile","View Profile")</f>
        <v>View Profile</v>
      </c>
      <c r="B35" t="s">
        <v>423</v>
      </c>
      <c r="C35" t="s">
        <v>19</v>
      </c>
      <c r="D35" t="s">
        <v>424</v>
      </c>
      <c r="E35" t="s">
        <v>312</v>
      </c>
      <c r="F35" t="s">
        <v>198</v>
      </c>
      <c r="G35" t="s">
        <v>425</v>
      </c>
      <c r="H35" t="s">
        <v>426</v>
      </c>
      <c r="I35" t="s">
        <v>427</v>
      </c>
      <c r="J35" t="s">
        <v>428</v>
      </c>
      <c r="K35" t="s">
        <v>429</v>
      </c>
      <c r="L35">
        <v>2010</v>
      </c>
      <c r="M35" t="s">
        <v>430</v>
      </c>
      <c r="N35" t="s">
        <v>19</v>
      </c>
      <c r="O35" t="s">
        <v>431</v>
      </c>
      <c r="P35" t="s">
        <v>432</v>
      </c>
      <c r="Q35" t="s">
        <v>433</v>
      </c>
      <c r="R35" t="s">
        <v>434</v>
      </c>
    </row>
    <row r="36" spans="1:18">
      <c r="A36" s="2" t="str">
        <f>HYPERLINK("https://investorlist.com/investor/500-startups?ref=Excel_ViewProfile","View Profile")</f>
        <v>View Profile</v>
      </c>
      <c r="B36" t="s">
        <v>435</v>
      </c>
      <c r="C36" t="s">
        <v>19</v>
      </c>
      <c r="D36" t="s">
        <v>436</v>
      </c>
      <c r="E36" t="s">
        <v>312</v>
      </c>
      <c r="F36" t="s">
        <v>198</v>
      </c>
      <c r="G36" t="s">
        <v>425</v>
      </c>
      <c r="H36" t="s">
        <v>437</v>
      </c>
      <c r="I36" t="s">
        <v>427</v>
      </c>
      <c r="J36" t="s">
        <v>438</v>
      </c>
      <c r="K36" t="s">
        <v>439</v>
      </c>
      <c r="L36">
        <v>2010</v>
      </c>
      <c r="M36" t="s">
        <v>440</v>
      </c>
      <c r="N36" t="s">
        <v>19</v>
      </c>
      <c r="O36" t="s">
        <v>441</v>
      </c>
      <c r="P36" t="s">
        <v>442</v>
      </c>
      <c r="Q36" t="s">
        <v>443</v>
      </c>
      <c r="R36" t="s">
        <v>444</v>
      </c>
    </row>
    <row r="37" spans="1:18">
      <c r="A37" s="2" t="str">
        <f>HYPERLINK("https://investorlist.com/investor/crankstart-foundation?ref=Excel_ViewProfile","View Profile")</f>
        <v>View Profile</v>
      </c>
      <c r="B37" t="s">
        <v>445</v>
      </c>
      <c r="C37" t="s">
        <v>35</v>
      </c>
      <c r="D37" t="s">
        <v>446</v>
      </c>
      <c r="E37" t="s">
        <v>312</v>
      </c>
      <c r="F37" t="s">
        <v>198</v>
      </c>
      <c r="G37" t="s">
        <v>447</v>
      </c>
      <c r="H37" t="s">
        <v>38</v>
      </c>
      <c r="I37" t="s">
        <v>448</v>
      </c>
      <c r="J37" t="s">
        <v>38</v>
      </c>
      <c r="K37" t="s">
        <v>449</v>
      </c>
      <c r="L37">
        <v>2000</v>
      </c>
      <c r="M37" t="s">
        <v>155</v>
      </c>
      <c r="N37" t="s">
        <v>131</v>
      </c>
      <c r="O37" t="s">
        <v>450</v>
      </c>
      <c r="P37" t="s">
        <v>451</v>
      </c>
      <c r="Q37" t="s">
        <v>452</v>
      </c>
      <c r="R37" t="s">
        <v>453</v>
      </c>
    </row>
    <row r="38" spans="1:18">
      <c r="A38" s="2" t="str">
        <f>HYPERLINK("https://investorlist.com/investor/snb-capital?ref=Excel_ViewProfile","View Profile")</f>
        <v>View Profile</v>
      </c>
      <c r="B38" t="s">
        <v>454</v>
      </c>
      <c r="C38" t="s">
        <v>455</v>
      </c>
      <c r="D38" t="s">
        <v>456</v>
      </c>
      <c r="E38" t="s">
        <v>457</v>
      </c>
      <c r="F38" t="s">
        <v>301</v>
      </c>
      <c r="G38" t="s">
        <v>458</v>
      </c>
      <c r="H38" t="s">
        <v>459</v>
      </c>
      <c r="I38" t="s">
        <v>460</v>
      </c>
      <c r="J38" t="s">
        <v>461</v>
      </c>
      <c r="K38" t="s">
        <v>462</v>
      </c>
      <c r="L38">
        <v>2007</v>
      </c>
      <c r="M38" t="s">
        <v>229</v>
      </c>
      <c r="N38" t="s">
        <v>463</v>
      </c>
      <c r="O38" t="s">
        <v>464</v>
      </c>
      <c r="P38" t="s">
        <v>465</v>
      </c>
      <c r="Q38" t="s">
        <v>466</v>
      </c>
      <c r="R38" t="s">
        <v>467</v>
      </c>
    </row>
    <row r="39" spans="1:18">
      <c r="A39" s="2" t="str">
        <f>HYPERLINK("https://investorlist.com/investor/khwarizmi-ventures?ref=Excel_ViewProfile","View Profile")</f>
        <v>View Profile</v>
      </c>
      <c r="B39" t="s">
        <v>468</v>
      </c>
      <c r="C39" t="s">
        <v>19</v>
      </c>
      <c r="D39" t="s">
        <v>469</v>
      </c>
      <c r="E39" t="s">
        <v>470</v>
      </c>
      <c r="F39" t="s">
        <v>301</v>
      </c>
      <c r="G39" t="s">
        <v>471</v>
      </c>
      <c r="H39" t="s">
        <v>472</v>
      </c>
      <c r="I39" t="s">
        <v>473</v>
      </c>
      <c r="J39" t="s">
        <v>474</v>
      </c>
      <c r="K39" t="s">
        <v>475</v>
      </c>
      <c r="L39">
        <v>2018</v>
      </c>
      <c r="M39" t="s">
        <v>64</v>
      </c>
      <c r="N39" t="s">
        <v>19</v>
      </c>
      <c r="O39" t="s">
        <v>476</v>
      </c>
      <c r="P39" t="s">
        <v>477</v>
      </c>
      <c r="Q39" t="s">
        <v>478</v>
      </c>
      <c r="R39" t="s">
        <v>479</v>
      </c>
    </row>
    <row r="40" spans="1:18">
      <c r="A40" s="2" t="str">
        <f>HYPERLINK("https://investorlist.com/investor/liberty-city-ventures?ref=Excel_ViewProfile","View Profile")</f>
        <v>View Profile</v>
      </c>
      <c r="B40" t="s">
        <v>480</v>
      </c>
      <c r="C40" t="s">
        <v>19</v>
      </c>
      <c r="D40" t="s">
        <v>481</v>
      </c>
      <c r="E40" t="s">
        <v>324</v>
      </c>
      <c r="F40" t="s">
        <v>198</v>
      </c>
      <c r="G40" t="s">
        <v>482</v>
      </c>
      <c r="H40" t="s">
        <v>483</v>
      </c>
      <c r="I40" t="s">
        <v>484</v>
      </c>
      <c r="J40" t="s">
        <v>485</v>
      </c>
      <c r="K40" t="s">
        <v>486</v>
      </c>
      <c r="L40">
        <v>2012</v>
      </c>
      <c r="M40" t="s">
        <v>244</v>
      </c>
      <c r="N40" t="s">
        <v>487</v>
      </c>
      <c r="O40" t="s">
        <v>488</v>
      </c>
      <c r="P40" t="s">
        <v>489</v>
      </c>
      <c r="Q40" t="s">
        <v>490</v>
      </c>
      <c r="R40" t="s">
        <v>491</v>
      </c>
    </row>
    <row r="41" spans="1:18">
      <c r="A41" s="2" t="str">
        <f>HYPERLINK("https://investorlist.com/investor/ruya-partners?ref=Excel_ViewProfile","View Profile")</f>
        <v>View Profile</v>
      </c>
      <c r="B41" t="s">
        <v>492</v>
      </c>
      <c r="C41" t="s">
        <v>136</v>
      </c>
      <c r="D41" t="s">
        <v>493</v>
      </c>
      <c r="E41" t="s">
        <v>21</v>
      </c>
      <c r="F41" t="s">
        <v>22</v>
      </c>
      <c r="G41" t="s">
        <v>494</v>
      </c>
      <c r="H41" t="s">
        <v>495</v>
      </c>
      <c r="I41" t="s">
        <v>496</v>
      </c>
      <c r="J41" t="s">
        <v>497</v>
      </c>
      <c r="K41" t="s">
        <v>498</v>
      </c>
      <c r="L41">
        <v>2020</v>
      </c>
      <c r="M41" t="s">
        <v>130</v>
      </c>
      <c r="N41" t="s">
        <v>499</v>
      </c>
      <c r="O41" t="s">
        <v>500</v>
      </c>
      <c r="P41" t="s">
        <v>501</v>
      </c>
      <c r="Q41" t="s">
        <v>502</v>
      </c>
      <c r="R41" t="s">
        <v>503</v>
      </c>
    </row>
    <row r="42" spans="1:18">
      <c r="A42" s="2" t="str">
        <f>HYPERLINK("https://investorlist.com/investor/jadwa-investment?ref=Excel_ViewProfile","View Profile")</f>
        <v>View Profile</v>
      </c>
      <c r="B42" t="s">
        <v>504</v>
      </c>
      <c r="C42" t="s">
        <v>181</v>
      </c>
      <c r="D42" t="s">
        <v>505</v>
      </c>
      <c r="E42" t="s">
        <v>457</v>
      </c>
      <c r="F42" t="s">
        <v>301</v>
      </c>
      <c r="G42" t="s">
        <v>506</v>
      </c>
      <c r="H42" t="s">
        <v>38</v>
      </c>
      <c r="I42" t="s">
        <v>507</v>
      </c>
      <c r="J42" t="s">
        <v>508</v>
      </c>
      <c r="K42" t="s">
        <v>509</v>
      </c>
      <c r="L42">
        <v>2006</v>
      </c>
      <c r="M42" t="s">
        <v>229</v>
      </c>
      <c r="N42" t="s">
        <v>510</v>
      </c>
      <c r="O42" t="s">
        <v>511</v>
      </c>
      <c r="P42" t="s">
        <v>512</v>
      </c>
      <c r="Q42" t="s">
        <v>513</v>
      </c>
      <c r="R42" t="s">
        <v>514</v>
      </c>
    </row>
    <row r="43" spans="1:18">
      <c r="A43" s="2" t="str">
        <f>HYPERLINK("https://investorlist.com/investor/gfh-financial-group?ref=Excel_ViewProfile","View Profile")</f>
        <v>View Profile</v>
      </c>
      <c r="B43" t="s">
        <v>515</v>
      </c>
      <c r="C43" t="s">
        <v>181</v>
      </c>
      <c r="D43" t="s">
        <v>516</v>
      </c>
      <c r="E43" t="s">
        <v>38</v>
      </c>
      <c r="F43" t="s">
        <v>517</v>
      </c>
      <c r="G43" t="s">
        <v>518</v>
      </c>
      <c r="H43" t="s">
        <v>519</v>
      </c>
      <c r="I43" t="s">
        <v>520</v>
      </c>
      <c r="J43" t="s">
        <v>521</v>
      </c>
      <c r="K43" t="s">
        <v>522</v>
      </c>
      <c r="L43">
        <v>1999</v>
      </c>
      <c r="M43" t="s">
        <v>523</v>
      </c>
      <c r="N43" t="s">
        <v>524</v>
      </c>
      <c r="O43" t="s">
        <v>525</v>
      </c>
      <c r="P43" t="s">
        <v>526</v>
      </c>
      <c r="Q43" t="s">
        <v>527</v>
      </c>
      <c r="R43" t="s">
        <v>528</v>
      </c>
    </row>
    <row r="44" spans="1:18">
      <c r="A44" s="2" t="str">
        <f>HYPERLINK("https://investorlist.com/investor/stc-group?ref=Excel_ViewProfile","View Profile")</f>
        <v>View Profile</v>
      </c>
      <c r="B44" t="s">
        <v>529</v>
      </c>
      <c r="C44" t="s">
        <v>530</v>
      </c>
      <c r="D44" t="s">
        <v>531</v>
      </c>
      <c r="E44" t="s">
        <v>457</v>
      </c>
      <c r="F44" t="s">
        <v>301</v>
      </c>
      <c r="G44" t="s">
        <v>532</v>
      </c>
      <c r="H44" t="s">
        <v>533</v>
      </c>
      <c r="I44" t="s">
        <v>534</v>
      </c>
      <c r="J44" t="s">
        <v>535</v>
      </c>
      <c r="K44" t="s">
        <v>536</v>
      </c>
      <c r="L44">
        <v>1998</v>
      </c>
      <c r="M44" t="s">
        <v>537</v>
      </c>
      <c r="N44" t="s">
        <v>217</v>
      </c>
      <c r="O44" t="s">
        <v>538</v>
      </c>
      <c r="P44" t="s">
        <v>539</v>
      </c>
      <c r="Q44" t="s">
        <v>540</v>
      </c>
      <c r="R44" t="s">
        <v>541</v>
      </c>
    </row>
    <row r="45" spans="1:18">
      <c r="A45" s="2" t="str">
        <f>HYPERLINK("https://investorlist.com/investor/fmo?ref=Excel_ViewProfile","View Profile")</f>
        <v>View Profile</v>
      </c>
      <c r="B45" t="s">
        <v>542</v>
      </c>
      <c r="C45" t="s">
        <v>250</v>
      </c>
      <c r="D45" t="s">
        <v>543</v>
      </c>
      <c r="E45" t="s">
        <v>544</v>
      </c>
      <c r="F45" t="s">
        <v>545</v>
      </c>
      <c r="G45" t="s">
        <v>546</v>
      </c>
      <c r="H45" t="s">
        <v>547</v>
      </c>
      <c r="I45" t="s">
        <v>548</v>
      </c>
      <c r="J45" t="s">
        <v>549</v>
      </c>
      <c r="K45" t="s">
        <v>550</v>
      </c>
      <c r="L45">
        <v>1970</v>
      </c>
      <c r="M45" t="s">
        <v>343</v>
      </c>
      <c r="N45" t="s">
        <v>551</v>
      </c>
      <c r="O45" t="s">
        <v>552</v>
      </c>
      <c r="P45" t="s">
        <v>553</v>
      </c>
      <c r="Q45" t="s">
        <v>554</v>
      </c>
      <c r="R45" t="s">
        <v>555</v>
      </c>
    </row>
    <row r="46" spans="1:18">
      <c r="A46" s="2" t="str">
        <f>HYPERLINK("https://investorlist.com/investor/shuaa-partners?ref=Excel_ViewProfile","View Profile")</f>
        <v>View Profile</v>
      </c>
      <c r="B46" t="s">
        <v>556</v>
      </c>
      <c r="C46" t="s">
        <v>181</v>
      </c>
      <c r="D46" t="s">
        <v>557</v>
      </c>
      <c r="E46" t="s">
        <v>71</v>
      </c>
      <c r="F46" t="s">
        <v>22</v>
      </c>
      <c r="G46" t="s">
        <v>558</v>
      </c>
      <c r="H46" t="s">
        <v>559</v>
      </c>
      <c r="I46" t="s">
        <v>560</v>
      </c>
      <c r="J46" t="s">
        <v>561</v>
      </c>
      <c r="K46" t="s">
        <v>562</v>
      </c>
      <c r="L46">
        <v>2006</v>
      </c>
      <c r="M46" t="s">
        <v>563</v>
      </c>
      <c r="N46" t="s">
        <v>564</v>
      </c>
      <c r="O46" t="s">
        <v>565</v>
      </c>
      <c r="P46" t="s">
        <v>566</v>
      </c>
      <c r="Q46" t="s">
        <v>567</v>
      </c>
      <c r="R46" t="s">
        <v>568</v>
      </c>
    </row>
    <row r="47" spans="1:18">
      <c r="A47" s="2" t="str">
        <f>HYPERLINK("https://investorlist.com/investor/stride-ventures?ref=Excel_ViewProfile","View Profile")</f>
        <v>View Profile</v>
      </c>
      <c r="B47" t="s">
        <v>569</v>
      </c>
      <c r="C47" t="s">
        <v>19</v>
      </c>
      <c r="D47" t="s">
        <v>570</v>
      </c>
      <c r="E47" t="s">
        <v>571</v>
      </c>
      <c r="F47" t="s">
        <v>572</v>
      </c>
      <c r="G47" t="s">
        <v>573</v>
      </c>
      <c r="H47" t="s">
        <v>574</v>
      </c>
      <c r="I47" t="s">
        <v>575</v>
      </c>
      <c r="J47" t="s">
        <v>38</v>
      </c>
      <c r="K47" t="s">
        <v>576</v>
      </c>
      <c r="L47">
        <v>2019</v>
      </c>
      <c r="M47" t="s">
        <v>229</v>
      </c>
      <c r="N47" t="s">
        <v>577</v>
      </c>
      <c r="O47" t="s">
        <v>578</v>
      </c>
      <c r="P47" t="s">
        <v>579</v>
      </c>
      <c r="Q47" t="s">
        <v>580</v>
      </c>
      <c r="R47" t="s">
        <v>581</v>
      </c>
    </row>
    <row r="48" spans="1:18">
      <c r="A48" s="2" t="str">
        <f>HYPERLINK("https://investorlist.com/investor/ishana-capital-limited?ref=Excel_ViewProfile","View Profile")</f>
        <v>View Profile</v>
      </c>
      <c r="B48" t="s">
        <v>582</v>
      </c>
      <c r="C48" t="s">
        <v>181</v>
      </c>
      <c r="D48" t="s">
        <v>583</v>
      </c>
      <c r="E48" t="s">
        <v>584</v>
      </c>
      <c r="F48" t="s">
        <v>585</v>
      </c>
      <c r="G48" t="s">
        <v>586</v>
      </c>
      <c r="H48" t="s">
        <v>38</v>
      </c>
      <c r="I48" t="s">
        <v>587</v>
      </c>
      <c r="J48" t="s">
        <v>588</v>
      </c>
      <c r="K48" t="s">
        <v>589</v>
      </c>
      <c r="L48" t="s">
        <v>38</v>
      </c>
      <c r="M48" t="s">
        <v>343</v>
      </c>
      <c r="N48" t="s">
        <v>217</v>
      </c>
      <c r="O48" t="s">
        <v>590</v>
      </c>
      <c r="P48" t="s">
        <v>591</v>
      </c>
      <c r="Q48" t="s">
        <v>592</v>
      </c>
      <c r="R48" t="s">
        <v>38</v>
      </c>
    </row>
    <row r="49" spans="1:18">
      <c r="A49" s="2" t="str">
        <f>HYPERLINK("https://investorlist.com/investor/mirae-asset-naver-asia-growth-fund?ref=Excel_ViewProfile","View Profile")</f>
        <v>View Profile</v>
      </c>
      <c r="B49" t="s">
        <v>593</v>
      </c>
      <c r="C49" t="s">
        <v>19</v>
      </c>
      <c r="D49" t="s">
        <v>594</v>
      </c>
      <c r="E49" t="s">
        <v>595</v>
      </c>
      <c r="F49" t="s">
        <v>596</v>
      </c>
      <c r="G49" t="s">
        <v>597</v>
      </c>
      <c r="H49" t="s">
        <v>38</v>
      </c>
      <c r="I49" t="s">
        <v>598</v>
      </c>
      <c r="J49" t="s">
        <v>38</v>
      </c>
      <c r="K49" t="s">
        <v>599</v>
      </c>
      <c r="L49">
        <v>2015</v>
      </c>
      <c r="M49" t="s">
        <v>600</v>
      </c>
      <c r="N49" t="s">
        <v>19</v>
      </c>
      <c r="O49" t="s">
        <v>601</v>
      </c>
      <c r="P49" t="s">
        <v>602</v>
      </c>
      <c r="Q49" t="s">
        <v>603</v>
      </c>
      <c r="R49" t="s">
        <v>604</v>
      </c>
    </row>
    <row r="50" spans="1:18">
      <c r="A50" s="2" t="str">
        <f>HYPERLINK("https://investorlist.com/investor/turmeric-capital?ref=Excel_ViewProfile","View Profile")</f>
        <v>View Profile</v>
      </c>
      <c r="B50" t="s">
        <v>605</v>
      </c>
      <c r="C50" t="s">
        <v>181</v>
      </c>
      <c r="D50" t="s">
        <v>606</v>
      </c>
      <c r="E50" t="s">
        <v>607</v>
      </c>
      <c r="F50" t="s">
        <v>210</v>
      </c>
      <c r="G50" t="s">
        <v>608</v>
      </c>
      <c r="H50" t="s">
        <v>609</v>
      </c>
      <c r="I50" t="s">
        <v>610</v>
      </c>
      <c r="J50" t="s">
        <v>38</v>
      </c>
      <c r="K50" t="s">
        <v>611</v>
      </c>
      <c r="L50">
        <v>2021</v>
      </c>
      <c r="M50" t="s">
        <v>612</v>
      </c>
      <c r="N50" t="s">
        <v>217</v>
      </c>
      <c r="O50" t="s">
        <v>613</v>
      </c>
      <c r="P50" t="s">
        <v>614</v>
      </c>
      <c r="Q50" t="s">
        <v>615</v>
      </c>
      <c r="R50" t="s">
        <v>616</v>
      </c>
    </row>
    <row r="51" spans="1:18">
      <c r="A51" s="2" t="str">
        <f>HYPERLINK("https://investorlist.com/investor/glowfish-capital?ref=Excel_ViewProfile","View Profile")</f>
        <v>View Profile</v>
      </c>
      <c r="B51" t="s">
        <v>617</v>
      </c>
      <c r="C51" t="s">
        <v>19</v>
      </c>
      <c r="D51" t="s">
        <v>618</v>
      </c>
      <c r="E51" t="s">
        <v>71</v>
      </c>
      <c r="F51" t="s">
        <v>22</v>
      </c>
      <c r="G51" t="s">
        <v>619</v>
      </c>
      <c r="H51" t="s">
        <v>38</v>
      </c>
      <c r="I51" t="s">
        <v>620</v>
      </c>
      <c r="J51" t="s">
        <v>38</v>
      </c>
      <c r="K51" t="s">
        <v>621</v>
      </c>
      <c r="L51">
        <v>2013</v>
      </c>
      <c r="M51" t="s">
        <v>229</v>
      </c>
      <c r="N51" t="s">
        <v>217</v>
      </c>
      <c r="O51" t="s">
        <v>622</v>
      </c>
      <c r="P51" t="s">
        <v>623</v>
      </c>
      <c r="Q51" t="s">
        <v>624</v>
      </c>
      <c r="R51" t="s">
        <v>625</v>
      </c>
    </row>
    <row r="52" spans="1:18">
      <c r="A52" s="2" t="str">
        <f>HYPERLINK("https://investorlist.com/investor/peak-xv-partners?ref=Excel_ViewProfile","View Profile")</f>
        <v>View Profile</v>
      </c>
      <c r="B52" t="s">
        <v>626</v>
      </c>
      <c r="C52" t="s">
        <v>19</v>
      </c>
      <c r="D52" t="s">
        <v>627</v>
      </c>
      <c r="E52" t="s">
        <v>38</v>
      </c>
      <c r="F52" t="s">
        <v>210</v>
      </c>
      <c r="G52" t="s">
        <v>628</v>
      </c>
      <c r="H52" t="s">
        <v>629</v>
      </c>
      <c r="I52" t="s">
        <v>630</v>
      </c>
      <c r="J52" t="s">
        <v>38</v>
      </c>
      <c r="K52" t="s">
        <v>631</v>
      </c>
      <c r="L52">
        <v>2023</v>
      </c>
      <c r="M52" t="s">
        <v>632</v>
      </c>
      <c r="N52" t="s">
        <v>217</v>
      </c>
      <c r="O52" t="s">
        <v>633</v>
      </c>
      <c r="P52" t="s">
        <v>634</v>
      </c>
      <c r="Q52" t="s">
        <v>635</v>
      </c>
      <c r="R52" t="s">
        <v>636</v>
      </c>
    </row>
    <row r="53" spans="1:18">
      <c r="A53" s="2" t="str">
        <f>HYPERLINK("https://investorlist.com/investor/symphony-asia-holdings-pte-ltd?ref=Excel_ViewProfile","View Profile")</f>
        <v>View Profile</v>
      </c>
      <c r="B53" t="s">
        <v>637</v>
      </c>
      <c r="C53" t="s">
        <v>181</v>
      </c>
      <c r="D53" t="s">
        <v>638</v>
      </c>
      <c r="E53" t="s">
        <v>606</v>
      </c>
      <c r="F53" t="s">
        <v>210</v>
      </c>
      <c r="G53" t="s">
        <v>639</v>
      </c>
      <c r="H53" t="s">
        <v>38</v>
      </c>
      <c r="I53" t="s">
        <v>640</v>
      </c>
      <c r="J53" t="s">
        <v>641</v>
      </c>
      <c r="K53" t="s">
        <v>642</v>
      </c>
      <c r="L53">
        <v>2005</v>
      </c>
      <c r="M53" t="s">
        <v>130</v>
      </c>
      <c r="N53" t="s">
        <v>167</v>
      </c>
      <c r="O53" t="s">
        <v>643</v>
      </c>
      <c r="P53" t="s">
        <v>644</v>
      </c>
      <c r="Q53" t="s">
        <v>645</v>
      </c>
      <c r="R53" t="s">
        <v>646</v>
      </c>
    </row>
    <row r="54" spans="1:18">
      <c r="A54" s="2" t="str">
        <f>HYPERLINK("https://investorlist.com/investor/idb-infrastructure-fund-ii?ref=Excel_ViewProfile","View Profile")</f>
        <v>View Profile</v>
      </c>
      <c r="B54" t="s">
        <v>647</v>
      </c>
      <c r="C54" t="s">
        <v>181</v>
      </c>
      <c r="D54" t="s">
        <v>648</v>
      </c>
      <c r="E54" t="s">
        <v>649</v>
      </c>
      <c r="F54" t="s">
        <v>517</v>
      </c>
      <c r="G54" t="s">
        <v>650</v>
      </c>
      <c r="H54" t="s">
        <v>38</v>
      </c>
      <c r="I54" t="s">
        <v>651</v>
      </c>
      <c r="J54" t="s">
        <v>652</v>
      </c>
      <c r="K54" t="s">
        <v>653</v>
      </c>
      <c r="L54">
        <v>2014</v>
      </c>
      <c r="M54" t="s">
        <v>130</v>
      </c>
      <c r="N54" t="s">
        <v>654</v>
      </c>
      <c r="O54" t="s">
        <v>655</v>
      </c>
      <c r="P54" t="s">
        <v>656</v>
      </c>
      <c r="Q54" t="s">
        <v>657</v>
      </c>
      <c r="R54" t="s">
        <v>658</v>
      </c>
    </row>
    <row r="55" spans="1:18">
      <c r="A55" s="2" t="str">
        <f>HYPERLINK("https://investorlist.com/investor/altouq-group?ref=Excel_ViewProfile","View Profile")</f>
        <v>View Profile</v>
      </c>
      <c r="B55" t="s">
        <v>659</v>
      </c>
      <c r="C55" t="s">
        <v>162</v>
      </c>
      <c r="D55" t="s">
        <v>660</v>
      </c>
      <c r="E55" t="s">
        <v>661</v>
      </c>
      <c r="F55" t="s">
        <v>301</v>
      </c>
      <c r="G55" t="s">
        <v>662</v>
      </c>
      <c r="H55" t="s">
        <v>38</v>
      </c>
      <c r="I55" t="s">
        <v>663</v>
      </c>
      <c r="J55" t="s">
        <v>664</v>
      </c>
      <c r="K55" t="s">
        <v>665</v>
      </c>
      <c r="L55">
        <v>1970</v>
      </c>
      <c r="M55" t="s">
        <v>155</v>
      </c>
      <c r="N55" t="s">
        <v>167</v>
      </c>
      <c r="O55" t="s">
        <v>666</v>
      </c>
      <c r="P55" t="s">
        <v>667</v>
      </c>
      <c r="Q55" t="s">
        <v>668</v>
      </c>
      <c r="R55" t="s">
        <v>669</v>
      </c>
    </row>
    <row r="56" spans="1:18">
      <c r="A56" s="2" t="str">
        <f>HYPERLINK("https://investorlist.com/investor/folius-ventures?ref=Excel_ViewProfile","View Profile")</f>
        <v>View Profile</v>
      </c>
      <c r="B56" t="s">
        <v>670</v>
      </c>
      <c r="C56" t="s">
        <v>19</v>
      </c>
      <c r="D56" t="s">
        <v>671</v>
      </c>
      <c r="E56" t="s">
        <v>324</v>
      </c>
      <c r="F56" t="s">
        <v>198</v>
      </c>
      <c r="G56" t="s">
        <v>672</v>
      </c>
      <c r="H56" t="s">
        <v>673</v>
      </c>
      <c r="I56" t="s">
        <v>674</v>
      </c>
      <c r="J56" t="s">
        <v>675</v>
      </c>
      <c r="K56" t="s">
        <v>676</v>
      </c>
      <c r="L56">
        <v>2021</v>
      </c>
      <c r="M56" t="s">
        <v>677</v>
      </c>
      <c r="N56" t="s">
        <v>678</v>
      </c>
      <c r="O56" t="s">
        <v>679</v>
      </c>
      <c r="P56" t="s">
        <v>680</v>
      </c>
      <c r="Q56" t="s">
        <v>681</v>
      </c>
      <c r="R56" t="s">
        <v>682</v>
      </c>
    </row>
    <row r="57" spans="1:18">
      <c r="A57" s="2" t="str">
        <f>HYPERLINK("https://investorlist.com/investor/500-falcons?ref=Excel_ViewProfile","View Profile")</f>
        <v>View Profile</v>
      </c>
      <c r="B57" t="s">
        <v>683</v>
      </c>
      <c r="C57" t="s">
        <v>19</v>
      </c>
      <c r="D57" t="s">
        <v>424</v>
      </c>
      <c r="E57" t="s">
        <v>312</v>
      </c>
      <c r="F57" t="s">
        <v>198</v>
      </c>
      <c r="G57" t="s">
        <v>684</v>
      </c>
      <c r="H57" t="s">
        <v>38</v>
      </c>
      <c r="I57" t="s">
        <v>685</v>
      </c>
      <c r="J57" t="s">
        <v>686</v>
      </c>
      <c r="K57" t="s">
        <v>687</v>
      </c>
      <c r="L57">
        <v>2015</v>
      </c>
      <c r="M57" t="s">
        <v>64</v>
      </c>
      <c r="N57" t="s">
        <v>19</v>
      </c>
      <c r="O57" t="s">
        <v>688</v>
      </c>
      <c r="P57" t="s">
        <v>689</v>
      </c>
      <c r="Q57" t="s">
        <v>690</v>
      </c>
      <c r="R57" t="s">
        <v>691</v>
      </c>
    </row>
    <row r="58" spans="1:18">
      <c r="A58" s="2" t="str">
        <f>HYPERLINK("https://investorlist.com/investor/flat6labs?ref=Excel_ViewProfile","View Profile")</f>
        <v>View Profile</v>
      </c>
      <c r="B58" t="s">
        <v>692</v>
      </c>
      <c r="C58" t="s">
        <v>19</v>
      </c>
      <c r="D58" t="s">
        <v>693</v>
      </c>
      <c r="E58" t="s">
        <v>694</v>
      </c>
      <c r="F58" t="s">
        <v>265</v>
      </c>
      <c r="G58" t="s">
        <v>695</v>
      </c>
      <c r="H58" t="s">
        <v>696</v>
      </c>
      <c r="I58" t="s">
        <v>697</v>
      </c>
      <c r="J58" t="s">
        <v>698</v>
      </c>
      <c r="K58" t="s">
        <v>699</v>
      </c>
      <c r="L58">
        <v>2011</v>
      </c>
      <c r="M58" t="s">
        <v>229</v>
      </c>
      <c r="N58" t="s">
        <v>119</v>
      </c>
      <c r="O58" t="s">
        <v>700</v>
      </c>
      <c r="P58" t="s">
        <v>701</v>
      </c>
      <c r="Q58" t="s">
        <v>702</v>
      </c>
      <c r="R58" t="s">
        <v>703</v>
      </c>
    </row>
    <row r="59" spans="1:18">
      <c r="A59" s="2" t="str">
        <f>HYPERLINK("https://investorlist.com/investor/arkstream-capital?ref=Excel_ViewProfile","View Profile")</f>
        <v>View Profile</v>
      </c>
      <c r="B59" t="s">
        <v>704</v>
      </c>
      <c r="C59" t="s">
        <v>19</v>
      </c>
      <c r="D59" t="s">
        <v>705</v>
      </c>
      <c r="E59" t="s">
        <v>706</v>
      </c>
      <c r="F59" t="s">
        <v>225</v>
      </c>
      <c r="G59" t="s">
        <v>707</v>
      </c>
      <c r="H59" t="s">
        <v>38</v>
      </c>
      <c r="I59" t="s">
        <v>708</v>
      </c>
      <c r="J59" t="s">
        <v>38</v>
      </c>
      <c r="K59" t="s">
        <v>709</v>
      </c>
      <c r="L59">
        <v>2017</v>
      </c>
      <c r="M59" t="s">
        <v>118</v>
      </c>
      <c r="N59" t="s">
        <v>710</v>
      </c>
      <c r="O59" t="s">
        <v>711</v>
      </c>
      <c r="P59" t="s">
        <v>712</v>
      </c>
      <c r="Q59" t="s">
        <v>713</v>
      </c>
      <c r="R59" t="s">
        <v>714</v>
      </c>
    </row>
    <row r="60" spans="1:18">
      <c r="A60" s="2" t="str">
        <f>HYPERLINK("https://investorlist.com/investor/avstar-capital?ref=Excel_ViewProfile","View Profile")</f>
        <v>View Profile</v>
      </c>
      <c r="B60" t="s">
        <v>715</v>
      </c>
      <c r="C60" t="s">
        <v>19</v>
      </c>
      <c r="D60" t="s">
        <v>716</v>
      </c>
      <c r="E60" t="s">
        <v>717</v>
      </c>
      <c r="F60" t="s">
        <v>718</v>
      </c>
      <c r="G60" t="s">
        <v>719</v>
      </c>
      <c r="H60" t="s">
        <v>38</v>
      </c>
      <c r="I60" t="s">
        <v>720</v>
      </c>
      <c r="J60" t="s">
        <v>38</v>
      </c>
      <c r="K60" t="s">
        <v>721</v>
      </c>
      <c r="L60">
        <v>2016</v>
      </c>
      <c r="M60" t="s">
        <v>440</v>
      </c>
      <c r="N60" t="s">
        <v>487</v>
      </c>
      <c r="O60" t="s">
        <v>722</v>
      </c>
      <c r="P60" t="s">
        <v>723</v>
      </c>
      <c r="Q60" t="s">
        <v>724</v>
      </c>
      <c r="R60" t="s">
        <v>725</v>
      </c>
    </row>
    <row r="61" spans="1:18">
      <c r="A61" s="2" t="str">
        <f>HYPERLINK("https://investorlist.com/investor/stc-corporate-investment-fund?ref=Excel_ViewProfile","View Profile")</f>
        <v>View Profile</v>
      </c>
      <c r="B61" t="s">
        <v>726</v>
      </c>
      <c r="C61" t="s">
        <v>530</v>
      </c>
      <c r="D61" t="s">
        <v>727</v>
      </c>
      <c r="E61" t="s">
        <v>457</v>
      </c>
      <c r="F61" t="s">
        <v>301</v>
      </c>
      <c r="G61" t="s">
        <v>532</v>
      </c>
      <c r="H61" t="s">
        <v>533</v>
      </c>
      <c r="I61" t="s">
        <v>728</v>
      </c>
      <c r="J61" t="s">
        <v>729</v>
      </c>
      <c r="K61" t="s">
        <v>730</v>
      </c>
      <c r="L61">
        <v>2023</v>
      </c>
      <c r="M61" t="s">
        <v>537</v>
      </c>
      <c r="N61" t="s">
        <v>217</v>
      </c>
      <c r="O61" t="s">
        <v>538</v>
      </c>
      <c r="P61" t="s">
        <v>539</v>
      </c>
      <c r="Q61" t="s">
        <v>731</v>
      </c>
      <c r="R61" t="s">
        <v>38</v>
      </c>
    </row>
    <row r="62" spans="1:18">
      <c r="A62" s="2" t="str">
        <f>HYPERLINK("https://investorlist.com/investor/camel-ventures?ref=Excel_ViewProfile","View Profile")</f>
        <v>View Profile</v>
      </c>
      <c r="B62" t="s">
        <v>732</v>
      </c>
      <c r="C62" t="s">
        <v>19</v>
      </c>
      <c r="D62" t="s">
        <v>264</v>
      </c>
      <c r="E62" t="s">
        <v>264</v>
      </c>
      <c r="F62" t="s">
        <v>265</v>
      </c>
      <c r="G62" t="s">
        <v>733</v>
      </c>
      <c r="H62" t="s">
        <v>734</v>
      </c>
      <c r="I62" t="s">
        <v>735</v>
      </c>
      <c r="J62" t="s">
        <v>38</v>
      </c>
      <c r="K62" t="s">
        <v>736</v>
      </c>
      <c r="L62">
        <v>2023</v>
      </c>
      <c r="M62" t="s">
        <v>737</v>
      </c>
      <c r="N62" t="s">
        <v>19</v>
      </c>
      <c r="O62" t="s">
        <v>738</v>
      </c>
      <c r="P62" t="s">
        <v>739</v>
      </c>
      <c r="Q62" t="s">
        <v>740</v>
      </c>
      <c r="R62" t="s">
        <v>741</v>
      </c>
    </row>
    <row r="63" spans="1:18">
      <c r="A63" s="2" t="str">
        <f>HYPERLINK("https://investorlist.com/investor/aga-khan-fund-for-economic-development?ref=Excel_ViewProfile","View Profile")</f>
        <v>View Profile</v>
      </c>
      <c r="B63" t="s">
        <v>742</v>
      </c>
      <c r="C63" t="s">
        <v>136</v>
      </c>
      <c r="D63" t="s">
        <v>743</v>
      </c>
      <c r="E63" t="s">
        <v>38</v>
      </c>
      <c r="F63" t="s">
        <v>744</v>
      </c>
      <c r="G63" t="s">
        <v>745</v>
      </c>
      <c r="H63" t="s">
        <v>746</v>
      </c>
      <c r="I63" t="s">
        <v>747</v>
      </c>
      <c r="J63" t="s">
        <v>748</v>
      </c>
      <c r="K63" t="s">
        <v>749</v>
      </c>
      <c r="L63">
        <v>1967</v>
      </c>
      <c r="M63" t="s">
        <v>750</v>
      </c>
      <c r="N63" t="s">
        <v>751</v>
      </c>
      <c r="O63" t="s">
        <v>752</v>
      </c>
      <c r="P63" t="s">
        <v>753</v>
      </c>
      <c r="Q63" t="s">
        <v>754</v>
      </c>
      <c r="R63" t="s">
        <v>755</v>
      </c>
    </row>
    <row r="64" spans="1:18">
      <c r="A64" s="2" t="str">
        <f>HYPERLINK("https://investorlist.com/investor/sharjah-chamber-of-commerce-and-industry?ref=Excel_ViewProfile","View Profile")</f>
        <v>View Profile</v>
      </c>
      <c r="B64" t="s">
        <v>756</v>
      </c>
      <c r="C64" t="s">
        <v>250</v>
      </c>
      <c r="D64" t="s">
        <v>757</v>
      </c>
      <c r="E64" t="s">
        <v>758</v>
      </c>
      <c r="F64" t="s">
        <v>22</v>
      </c>
      <c r="G64" t="s">
        <v>759</v>
      </c>
      <c r="H64" t="s">
        <v>38</v>
      </c>
      <c r="I64" t="s">
        <v>760</v>
      </c>
      <c r="J64" t="s">
        <v>761</v>
      </c>
      <c r="K64" t="s">
        <v>762</v>
      </c>
      <c r="L64">
        <v>1977</v>
      </c>
      <c r="M64" t="s">
        <v>229</v>
      </c>
      <c r="N64" t="s">
        <v>763</v>
      </c>
      <c r="O64" t="s">
        <v>764</v>
      </c>
      <c r="P64" t="s">
        <v>765</v>
      </c>
      <c r="Q64" t="s">
        <v>766</v>
      </c>
      <c r="R64" t="s">
        <v>767</v>
      </c>
    </row>
    <row r="65" spans="1:18">
      <c r="A65" s="2" t="str">
        <f>HYPERLINK("https://investorlist.com/investor/opportunity-international?ref=Excel_ViewProfile","View Profile")</f>
        <v>View Profile</v>
      </c>
      <c r="B65" t="s">
        <v>768</v>
      </c>
      <c r="C65" t="s">
        <v>35</v>
      </c>
      <c r="D65" t="s">
        <v>769</v>
      </c>
      <c r="E65" t="s">
        <v>770</v>
      </c>
      <c r="F65" t="s">
        <v>198</v>
      </c>
      <c r="G65" t="s">
        <v>771</v>
      </c>
      <c r="H65" t="s">
        <v>772</v>
      </c>
      <c r="I65" t="s">
        <v>773</v>
      </c>
      <c r="J65" t="s">
        <v>774</v>
      </c>
      <c r="K65" t="s">
        <v>775</v>
      </c>
      <c r="L65">
        <v>1971</v>
      </c>
      <c r="M65" t="s">
        <v>155</v>
      </c>
      <c r="N65" t="s">
        <v>776</v>
      </c>
      <c r="O65" t="s">
        <v>777</v>
      </c>
      <c r="P65" t="s">
        <v>778</v>
      </c>
      <c r="Q65" t="s">
        <v>779</v>
      </c>
      <c r="R65" t="s">
        <v>780</v>
      </c>
    </row>
    <row r="66" spans="1:18">
      <c r="A66" s="2" t="str">
        <f>HYPERLINK("https://investorlist.com/investor/gmo-venturepartners?ref=Excel_ViewProfile","View Profile")</f>
        <v>View Profile</v>
      </c>
      <c r="B66" t="s">
        <v>781</v>
      </c>
      <c r="C66" t="s">
        <v>19</v>
      </c>
      <c r="D66" t="s">
        <v>782</v>
      </c>
      <c r="E66" t="s">
        <v>783</v>
      </c>
      <c r="F66" t="s">
        <v>784</v>
      </c>
      <c r="G66" t="s">
        <v>785</v>
      </c>
      <c r="H66" t="s">
        <v>786</v>
      </c>
      <c r="I66" t="s">
        <v>787</v>
      </c>
      <c r="J66" t="s">
        <v>788</v>
      </c>
      <c r="K66" t="s">
        <v>789</v>
      </c>
      <c r="L66">
        <v>2005</v>
      </c>
      <c r="M66" t="s">
        <v>677</v>
      </c>
      <c r="N66" t="s">
        <v>19</v>
      </c>
      <c r="O66" t="s">
        <v>790</v>
      </c>
      <c r="P66" t="s">
        <v>791</v>
      </c>
      <c r="Q66" t="s">
        <v>792</v>
      </c>
      <c r="R66" t="s">
        <v>793</v>
      </c>
    </row>
    <row r="67" spans="1:18">
      <c r="A67" s="2" t="str">
        <f>HYPERLINK("https://investorlist.com/investor/alter-global?ref=Excel_ViewProfile","View Profile")</f>
        <v>View Profile</v>
      </c>
      <c r="B67" t="s">
        <v>794</v>
      </c>
      <c r="C67" t="s">
        <v>19</v>
      </c>
      <c r="D67" t="s">
        <v>424</v>
      </c>
      <c r="E67" t="s">
        <v>312</v>
      </c>
      <c r="F67" t="s">
        <v>198</v>
      </c>
      <c r="G67" t="s">
        <v>795</v>
      </c>
      <c r="H67" t="s">
        <v>38</v>
      </c>
      <c r="I67" t="s">
        <v>796</v>
      </c>
      <c r="J67" t="s">
        <v>797</v>
      </c>
      <c r="K67" t="s">
        <v>798</v>
      </c>
      <c r="L67">
        <v>2015</v>
      </c>
      <c r="M67" t="s">
        <v>52</v>
      </c>
      <c r="N67" t="s">
        <v>19</v>
      </c>
      <c r="O67" t="s">
        <v>799</v>
      </c>
      <c r="P67" t="s">
        <v>800</v>
      </c>
      <c r="Q67" t="s">
        <v>801</v>
      </c>
      <c r="R67" t="s">
        <v>802</v>
      </c>
    </row>
    <row r="68" spans="1:18">
      <c r="A68" s="2" t="str">
        <f>HYPERLINK("https://investorlist.com/investor/sarmayacar?ref=Excel_ViewProfile","View Profile")</f>
        <v>View Profile</v>
      </c>
      <c r="B68" t="s">
        <v>803</v>
      </c>
      <c r="C68" t="s">
        <v>19</v>
      </c>
      <c r="D68" t="s">
        <v>804</v>
      </c>
      <c r="E68" t="s">
        <v>805</v>
      </c>
      <c r="F68" t="s">
        <v>806</v>
      </c>
      <c r="G68" t="s">
        <v>807</v>
      </c>
      <c r="H68" t="s">
        <v>38</v>
      </c>
      <c r="I68" t="s">
        <v>808</v>
      </c>
      <c r="J68" t="s">
        <v>809</v>
      </c>
      <c r="K68" t="s">
        <v>810</v>
      </c>
      <c r="L68">
        <v>2016</v>
      </c>
      <c r="M68" t="s">
        <v>87</v>
      </c>
      <c r="N68" t="s">
        <v>19</v>
      </c>
      <c r="O68" t="s">
        <v>811</v>
      </c>
      <c r="P68" t="s">
        <v>812</v>
      </c>
      <c r="Q68" t="s">
        <v>813</v>
      </c>
      <c r="R68" t="s">
        <v>814</v>
      </c>
    </row>
    <row r="69" spans="1:18">
      <c r="A69" s="2" t="str">
        <f>HYPERLINK("https://investorlist.com/investor/indus-valley-capital?ref=Excel_ViewProfile","View Profile")</f>
        <v>View Profile</v>
      </c>
      <c r="B69" t="s">
        <v>815</v>
      </c>
      <c r="C69" t="s">
        <v>19</v>
      </c>
      <c r="D69" t="s">
        <v>816</v>
      </c>
      <c r="E69" t="s">
        <v>312</v>
      </c>
      <c r="F69" t="s">
        <v>198</v>
      </c>
      <c r="G69" t="s">
        <v>817</v>
      </c>
      <c r="H69" t="s">
        <v>818</v>
      </c>
      <c r="I69" t="s">
        <v>38</v>
      </c>
      <c r="J69" t="s">
        <v>819</v>
      </c>
      <c r="K69" t="s">
        <v>820</v>
      </c>
      <c r="L69">
        <v>2020</v>
      </c>
      <c r="M69" t="s">
        <v>821</v>
      </c>
      <c r="N69" t="s">
        <v>822</v>
      </c>
      <c r="O69" t="s">
        <v>823</v>
      </c>
      <c r="P69" t="s">
        <v>824</v>
      </c>
      <c r="Q69" t="s">
        <v>825</v>
      </c>
      <c r="R69" t="s">
        <v>826</v>
      </c>
    </row>
    <row r="70" spans="1:18">
      <c r="A70" s="2" t="str">
        <f>HYPERLINK("https://investorlist.com/investor/systems-ventures?ref=Excel_ViewProfile","View Profile")</f>
        <v>View Profile</v>
      </c>
      <c r="B70" t="s">
        <v>827</v>
      </c>
      <c r="C70" t="s">
        <v>530</v>
      </c>
      <c r="D70" t="s">
        <v>828</v>
      </c>
      <c r="E70" t="s">
        <v>805</v>
      </c>
      <c r="F70" t="s">
        <v>806</v>
      </c>
      <c r="G70" t="s">
        <v>829</v>
      </c>
      <c r="H70" t="s">
        <v>38</v>
      </c>
      <c r="I70" t="s">
        <v>38</v>
      </c>
      <c r="J70" t="s">
        <v>38</v>
      </c>
      <c r="K70" t="s">
        <v>830</v>
      </c>
      <c r="L70">
        <v>2019</v>
      </c>
      <c r="M70" t="s">
        <v>737</v>
      </c>
      <c r="N70" t="s">
        <v>19</v>
      </c>
      <c r="O70" t="s">
        <v>831</v>
      </c>
      <c r="P70" t="s">
        <v>812</v>
      </c>
      <c r="Q70" t="s">
        <v>832</v>
      </c>
      <c r="R70" t="s">
        <v>833</v>
      </c>
    </row>
    <row r="71" spans="1:18">
      <c r="A71" s="2" t="str">
        <f>HYPERLINK("https://investorlist.com/investor/wavemaker-partners?ref=Excel_ViewProfile","View Profile")</f>
        <v>View Profile</v>
      </c>
      <c r="B71" t="s">
        <v>834</v>
      </c>
      <c r="C71" t="s">
        <v>19</v>
      </c>
      <c r="D71" t="s">
        <v>835</v>
      </c>
      <c r="E71" t="s">
        <v>38</v>
      </c>
      <c r="F71" t="s">
        <v>210</v>
      </c>
      <c r="G71" t="s">
        <v>836</v>
      </c>
      <c r="H71" t="s">
        <v>837</v>
      </c>
      <c r="I71" t="s">
        <v>838</v>
      </c>
      <c r="J71" t="s">
        <v>38</v>
      </c>
      <c r="K71" t="s">
        <v>839</v>
      </c>
      <c r="L71">
        <v>2012</v>
      </c>
      <c r="M71" t="s">
        <v>440</v>
      </c>
      <c r="N71" t="s">
        <v>19</v>
      </c>
      <c r="O71" t="s">
        <v>840</v>
      </c>
      <c r="P71" t="s">
        <v>841</v>
      </c>
      <c r="Q71" t="s">
        <v>842</v>
      </c>
      <c r="R71" t="s">
        <v>843</v>
      </c>
    </row>
    <row r="72" spans="1:18">
      <c r="A72" s="2" t="str">
        <f>HYPERLINK("https://investorlist.com/investor/akd-group?ref=Excel_ViewProfile","View Profile")</f>
        <v>View Profile</v>
      </c>
      <c r="B72" t="s">
        <v>844</v>
      </c>
      <c r="C72" t="s">
        <v>181</v>
      </c>
      <c r="D72" t="s">
        <v>845</v>
      </c>
      <c r="E72" t="s">
        <v>846</v>
      </c>
      <c r="F72" t="s">
        <v>806</v>
      </c>
      <c r="G72" t="s">
        <v>847</v>
      </c>
      <c r="H72" t="s">
        <v>38</v>
      </c>
      <c r="I72" t="s">
        <v>848</v>
      </c>
      <c r="J72" t="s">
        <v>849</v>
      </c>
      <c r="K72" t="s">
        <v>850</v>
      </c>
      <c r="L72">
        <v>1947</v>
      </c>
      <c r="M72" t="s">
        <v>563</v>
      </c>
      <c r="N72" t="s">
        <v>851</v>
      </c>
      <c r="O72" t="s">
        <v>852</v>
      </c>
      <c r="P72" t="s">
        <v>853</v>
      </c>
      <c r="Q72" t="s">
        <v>854</v>
      </c>
      <c r="R72" t="s">
        <v>855</v>
      </c>
    </row>
    <row r="73" spans="1:18">
      <c r="A73" s="2" t="str">
        <f>HYPERLINK("https://investorlist.com/investor/deosai-ventures?ref=Excel_ViewProfile","View Profile")</f>
        <v>View Profile</v>
      </c>
      <c r="B73" t="s">
        <v>856</v>
      </c>
      <c r="C73" t="s">
        <v>19</v>
      </c>
      <c r="D73" t="s">
        <v>857</v>
      </c>
      <c r="E73" t="s">
        <v>38</v>
      </c>
      <c r="F73" t="s">
        <v>806</v>
      </c>
      <c r="G73" t="s">
        <v>858</v>
      </c>
      <c r="H73" t="s">
        <v>859</v>
      </c>
      <c r="I73" t="s">
        <v>860</v>
      </c>
      <c r="J73" t="s">
        <v>861</v>
      </c>
      <c r="K73" t="s">
        <v>862</v>
      </c>
      <c r="L73">
        <v>0</v>
      </c>
      <c r="M73" t="s">
        <v>863</v>
      </c>
      <c r="N73" t="s">
        <v>19</v>
      </c>
      <c r="O73" t="s">
        <v>864</v>
      </c>
      <c r="P73" t="s">
        <v>865</v>
      </c>
      <c r="Q73" t="s">
        <v>866</v>
      </c>
      <c r="R73" t="s">
        <v>867</v>
      </c>
    </row>
    <row r="74" spans="1:18">
      <c r="A74" s="2" t="str">
        <f>HYPERLINK("https://investorlist.com/investor/bank-alfalah-limited?ref=Excel_ViewProfile","View Profile")</f>
        <v>View Profile</v>
      </c>
      <c r="B74" t="s">
        <v>868</v>
      </c>
      <c r="C74" t="s">
        <v>250</v>
      </c>
      <c r="D74" t="s">
        <v>869</v>
      </c>
      <c r="E74" t="s">
        <v>38</v>
      </c>
      <c r="F74" t="s">
        <v>806</v>
      </c>
      <c r="G74" t="s">
        <v>870</v>
      </c>
      <c r="H74" t="s">
        <v>38</v>
      </c>
      <c r="I74" t="s">
        <v>871</v>
      </c>
      <c r="J74" t="s">
        <v>872</v>
      </c>
      <c r="K74" t="s">
        <v>873</v>
      </c>
      <c r="L74">
        <v>1992</v>
      </c>
      <c r="M74" t="s">
        <v>229</v>
      </c>
      <c r="N74" t="s">
        <v>874</v>
      </c>
      <c r="O74" t="s">
        <v>875</v>
      </c>
      <c r="P74" t="s">
        <v>876</v>
      </c>
      <c r="Q74" t="s">
        <v>877</v>
      </c>
      <c r="R74" t="s">
        <v>878</v>
      </c>
    </row>
    <row r="75" spans="1:18">
      <c r="A75" s="2" t="str">
        <f>HYPERLINK("https://investorlist.com/investor/tpl-e-ventures?ref=Excel_ViewProfile","View Profile")</f>
        <v>View Profile</v>
      </c>
      <c r="B75" t="s">
        <v>879</v>
      </c>
      <c r="C75" t="s">
        <v>530</v>
      </c>
      <c r="D75" t="s">
        <v>880</v>
      </c>
      <c r="E75" t="s">
        <v>846</v>
      </c>
      <c r="F75" t="s">
        <v>806</v>
      </c>
      <c r="G75" t="s">
        <v>881</v>
      </c>
      <c r="H75" t="s">
        <v>38</v>
      </c>
      <c r="I75" t="s">
        <v>882</v>
      </c>
      <c r="J75" t="s">
        <v>883</v>
      </c>
      <c r="K75" t="s">
        <v>884</v>
      </c>
      <c r="L75">
        <v>2017</v>
      </c>
      <c r="M75" t="s">
        <v>885</v>
      </c>
      <c r="N75" t="s">
        <v>19</v>
      </c>
      <c r="O75" t="s">
        <v>886</v>
      </c>
      <c r="P75" t="s">
        <v>812</v>
      </c>
      <c r="Q75" t="s">
        <v>887</v>
      </c>
      <c r="R75" t="s">
        <v>888</v>
      </c>
    </row>
    <row r="76" spans="1:18">
      <c r="A76" s="2" t="str">
        <f>HYPERLINK("https://investorlist.com/investor/meezan-bank-limited?ref=Excel_ViewProfile","View Profile")</f>
        <v>View Profile</v>
      </c>
      <c r="B76" t="s">
        <v>889</v>
      </c>
      <c r="C76" t="s">
        <v>250</v>
      </c>
      <c r="D76" t="s">
        <v>890</v>
      </c>
      <c r="E76" t="s">
        <v>846</v>
      </c>
      <c r="F76" t="s">
        <v>806</v>
      </c>
      <c r="G76" t="s">
        <v>891</v>
      </c>
      <c r="H76" t="s">
        <v>892</v>
      </c>
      <c r="I76" t="s">
        <v>893</v>
      </c>
      <c r="J76" t="s">
        <v>894</v>
      </c>
      <c r="K76" t="s">
        <v>895</v>
      </c>
      <c r="L76" t="s">
        <v>38</v>
      </c>
      <c r="M76" t="s">
        <v>130</v>
      </c>
      <c r="N76" t="s">
        <v>380</v>
      </c>
      <c r="O76" t="s">
        <v>896</v>
      </c>
      <c r="P76" t="s">
        <v>812</v>
      </c>
      <c r="Q76" t="s">
        <v>38</v>
      </c>
      <c r="R76" t="s">
        <v>38</v>
      </c>
    </row>
    <row r="77" spans="1:18">
      <c r="A77" s="2" t="str">
        <f>HYPERLINK("https://investorlist.com/investor/lakson-venture-capital?ref=Excel_ViewProfile","View Profile")</f>
        <v>View Profile</v>
      </c>
      <c r="B77" t="s">
        <v>897</v>
      </c>
      <c r="C77" t="s">
        <v>19</v>
      </c>
      <c r="D77" t="s">
        <v>898</v>
      </c>
      <c r="E77" t="s">
        <v>846</v>
      </c>
      <c r="F77" t="s">
        <v>806</v>
      </c>
      <c r="G77" t="s">
        <v>899</v>
      </c>
      <c r="H77" t="s">
        <v>38</v>
      </c>
      <c r="I77" t="s">
        <v>900</v>
      </c>
      <c r="J77" t="s">
        <v>901</v>
      </c>
      <c r="K77" t="s">
        <v>902</v>
      </c>
      <c r="L77">
        <v>2018</v>
      </c>
      <c r="M77" t="s">
        <v>737</v>
      </c>
      <c r="N77" t="s">
        <v>19</v>
      </c>
      <c r="O77" t="s">
        <v>903</v>
      </c>
      <c r="P77" t="s">
        <v>812</v>
      </c>
      <c r="Q77" t="s">
        <v>904</v>
      </c>
      <c r="R77" t="s">
        <v>905</v>
      </c>
    </row>
    <row r="78" spans="1:18">
      <c r="A78" s="2" t="str">
        <f>HYPERLINK("https://investorlist.com/investor/lakson-investments-venture-capital?ref=Excel_ViewProfile","View Profile")</f>
        <v>View Profile</v>
      </c>
      <c r="B78" t="s">
        <v>906</v>
      </c>
      <c r="C78" t="s">
        <v>19</v>
      </c>
      <c r="D78" t="s">
        <v>898</v>
      </c>
      <c r="E78" t="s">
        <v>846</v>
      </c>
      <c r="F78" t="s">
        <v>806</v>
      </c>
      <c r="G78" t="s">
        <v>899</v>
      </c>
      <c r="H78" t="s">
        <v>38</v>
      </c>
      <c r="I78" t="s">
        <v>900</v>
      </c>
      <c r="J78" t="s">
        <v>901</v>
      </c>
      <c r="K78" t="s">
        <v>907</v>
      </c>
      <c r="L78">
        <v>2018</v>
      </c>
      <c r="M78" t="s">
        <v>600</v>
      </c>
      <c r="N78" t="s">
        <v>19</v>
      </c>
      <c r="O78" t="s">
        <v>908</v>
      </c>
      <c r="P78" t="s">
        <v>812</v>
      </c>
      <c r="Q78" t="s">
        <v>909</v>
      </c>
      <c r="R78" t="s">
        <v>910</v>
      </c>
    </row>
    <row r="79" spans="1:18">
      <c r="A79" s="2" t="str">
        <f>HYPERLINK("https://investorlist.com/investor/jr-dallas-tech-fund?ref=Excel_ViewProfile","View Profile")</f>
        <v>View Profile</v>
      </c>
      <c r="B79" t="s">
        <v>911</v>
      </c>
      <c r="C79" t="s">
        <v>136</v>
      </c>
      <c r="D79" t="s">
        <v>912</v>
      </c>
      <c r="E79" t="s">
        <v>913</v>
      </c>
      <c r="F79" t="s">
        <v>198</v>
      </c>
      <c r="G79" t="s">
        <v>914</v>
      </c>
      <c r="H79" t="s">
        <v>915</v>
      </c>
      <c r="I79" t="s">
        <v>916</v>
      </c>
      <c r="J79" t="s">
        <v>917</v>
      </c>
      <c r="K79" t="s">
        <v>918</v>
      </c>
      <c r="L79">
        <v>2016</v>
      </c>
      <c r="M79" t="s">
        <v>737</v>
      </c>
      <c r="N79" t="s">
        <v>119</v>
      </c>
      <c r="O79" t="s">
        <v>919</v>
      </c>
      <c r="P79" t="s">
        <v>824</v>
      </c>
      <c r="Q79" t="s">
        <v>920</v>
      </c>
      <c r="R79" t="s">
        <v>921</v>
      </c>
    </row>
    <row r="80" spans="1:18">
      <c r="A80" s="2" t="str">
        <f>HYPERLINK("https://investorlist.com/investor/anchorless-bangladesh?ref=Excel_ViewProfile","View Profile")</f>
        <v>View Profile</v>
      </c>
      <c r="B80" t="s">
        <v>922</v>
      </c>
      <c r="C80" t="s">
        <v>19</v>
      </c>
      <c r="D80" t="s">
        <v>38</v>
      </c>
      <c r="E80" t="s">
        <v>38</v>
      </c>
      <c r="F80" t="s">
        <v>198</v>
      </c>
      <c r="G80" t="s">
        <v>923</v>
      </c>
      <c r="H80" t="s">
        <v>924</v>
      </c>
      <c r="I80" t="s">
        <v>925</v>
      </c>
      <c r="J80" t="s">
        <v>38</v>
      </c>
      <c r="K80" t="s">
        <v>926</v>
      </c>
      <c r="L80">
        <v>2019</v>
      </c>
      <c r="M80" t="s">
        <v>927</v>
      </c>
      <c r="N80" t="s">
        <v>19</v>
      </c>
      <c r="O80" t="s">
        <v>928</v>
      </c>
      <c r="P80" t="s">
        <v>929</v>
      </c>
      <c r="Q80" t="s">
        <v>930</v>
      </c>
      <c r="R80" t="s">
        <v>931</v>
      </c>
    </row>
    <row r="81" spans="1:18">
      <c r="A81" s="2" t="str">
        <f>HYPERLINK("https://investorlist.com/investor/sturgeon-capital?ref=Excel_ViewProfile","View Profile")</f>
        <v>View Profile</v>
      </c>
      <c r="B81" t="s">
        <v>932</v>
      </c>
      <c r="C81" t="s">
        <v>19</v>
      </c>
      <c r="D81" t="s">
        <v>933</v>
      </c>
      <c r="E81" t="s">
        <v>934</v>
      </c>
      <c r="F81" t="s">
        <v>360</v>
      </c>
      <c r="G81" t="s">
        <v>935</v>
      </c>
      <c r="H81" t="s">
        <v>936</v>
      </c>
      <c r="I81" t="s">
        <v>937</v>
      </c>
      <c r="J81" t="s">
        <v>938</v>
      </c>
      <c r="K81" t="s">
        <v>939</v>
      </c>
      <c r="L81" t="s">
        <v>38</v>
      </c>
      <c r="M81" t="s">
        <v>600</v>
      </c>
      <c r="N81" t="s">
        <v>119</v>
      </c>
      <c r="O81" t="s">
        <v>940</v>
      </c>
      <c r="P81" t="s">
        <v>941</v>
      </c>
      <c r="Q81" t="s">
        <v>38</v>
      </c>
      <c r="R81" t="s">
        <v>38</v>
      </c>
    </row>
    <row r="82" spans="1:18">
      <c r="A82" s="2" t="str">
        <f>HYPERLINK("https://investorlist.com/investor/obeikan-investment-group?ref=Excel_ViewProfile","View Profile")</f>
        <v>View Profile</v>
      </c>
      <c r="B82" t="s">
        <v>942</v>
      </c>
      <c r="C82" t="s">
        <v>530</v>
      </c>
      <c r="D82" t="s">
        <v>943</v>
      </c>
      <c r="E82" t="s">
        <v>457</v>
      </c>
      <c r="F82" t="s">
        <v>301</v>
      </c>
      <c r="G82" t="s">
        <v>944</v>
      </c>
      <c r="H82" t="s">
        <v>38</v>
      </c>
      <c r="I82" t="s">
        <v>945</v>
      </c>
      <c r="J82" t="s">
        <v>946</v>
      </c>
      <c r="K82" t="s">
        <v>947</v>
      </c>
      <c r="L82">
        <v>1982</v>
      </c>
      <c r="M82" t="s">
        <v>229</v>
      </c>
      <c r="N82" t="s">
        <v>948</v>
      </c>
      <c r="O82" t="s">
        <v>949</v>
      </c>
      <c r="P82" t="s">
        <v>950</v>
      </c>
      <c r="Q82" t="s">
        <v>951</v>
      </c>
      <c r="R82" t="s">
        <v>952</v>
      </c>
    </row>
    <row r="83" spans="1:18">
      <c r="A83" s="2" t="str">
        <f>HYPERLINK("https://investorlist.com/investor/al-rostamani-group?ref=Excel_ViewProfile","View Profile")</f>
        <v>View Profile</v>
      </c>
      <c r="B83" t="s">
        <v>953</v>
      </c>
      <c r="C83" t="s">
        <v>530</v>
      </c>
      <c r="D83" t="s">
        <v>954</v>
      </c>
      <c r="E83" t="s">
        <v>71</v>
      </c>
      <c r="F83" t="s">
        <v>22</v>
      </c>
      <c r="G83" t="s">
        <v>955</v>
      </c>
      <c r="H83" t="s">
        <v>956</v>
      </c>
      <c r="I83" t="s">
        <v>957</v>
      </c>
      <c r="J83" t="s">
        <v>958</v>
      </c>
      <c r="K83" t="s">
        <v>959</v>
      </c>
      <c r="L83" t="s">
        <v>38</v>
      </c>
      <c r="M83" t="s">
        <v>960</v>
      </c>
      <c r="N83" t="s">
        <v>961</v>
      </c>
      <c r="O83" t="s">
        <v>962</v>
      </c>
      <c r="P83" t="s">
        <v>963</v>
      </c>
      <c r="Q83" t="s">
        <v>38</v>
      </c>
      <c r="R83" t="s">
        <v>38</v>
      </c>
    </row>
    <row r="84" spans="1:18">
      <c r="A84" s="2" t="str">
        <f>HYPERLINK("https://investorlist.com/investor/standard-chartered?ref=Excel_ViewProfile","View Profile")</f>
        <v>View Profile</v>
      </c>
      <c r="B84" t="s">
        <v>964</v>
      </c>
      <c r="C84" t="s">
        <v>250</v>
      </c>
      <c r="D84" t="s">
        <v>965</v>
      </c>
      <c r="E84" t="s">
        <v>934</v>
      </c>
      <c r="F84" t="s">
        <v>360</v>
      </c>
      <c r="G84" t="s">
        <v>966</v>
      </c>
      <c r="H84" t="s">
        <v>967</v>
      </c>
      <c r="I84" t="s">
        <v>968</v>
      </c>
      <c r="J84" t="s">
        <v>969</v>
      </c>
      <c r="K84" t="s">
        <v>970</v>
      </c>
      <c r="L84">
        <v>1853</v>
      </c>
      <c r="M84" t="s">
        <v>130</v>
      </c>
      <c r="N84" t="s">
        <v>971</v>
      </c>
      <c r="O84" t="s">
        <v>972</v>
      </c>
      <c r="P84" t="s">
        <v>973</v>
      </c>
      <c r="Q84" t="s">
        <v>974</v>
      </c>
      <c r="R84" t="s">
        <v>975</v>
      </c>
    </row>
    <row r="85" spans="1:18">
      <c r="A85" s="2" t="str">
        <f>HYPERLINK("https://investorlist.com/investor/acumen?ref=Excel_ViewProfile","View Profile")</f>
        <v>View Profile</v>
      </c>
      <c r="B85" t="s">
        <v>976</v>
      </c>
      <c r="C85" t="s">
        <v>35</v>
      </c>
      <c r="D85" t="s">
        <v>977</v>
      </c>
      <c r="E85" t="s">
        <v>324</v>
      </c>
      <c r="F85" t="s">
        <v>198</v>
      </c>
      <c r="G85" t="s">
        <v>978</v>
      </c>
      <c r="H85" t="s">
        <v>979</v>
      </c>
      <c r="I85" t="s">
        <v>980</v>
      </c>
      <c r="J85" t="s">
        <v>981</v>
      </c>
      <c r="K85" t="s">
        <v>982</v>
      </c>
      <c r="L85">
        <v>2001</v>
      </c>
      <c r="M85" t="s">
        <v>118</v>
      </c>
      <c r="N85" t="s">
        <v>983</v>
      </c>
      <c r="O85" t="s">
        <v>984</v>
      </c>
      <c r="P85" t="s">
        <v>985</v>
      </c>
      <c r="Q85" t="s">
        <v>986</v>
      </c>
      <c r="R85" t="s">
        <v>987</v>
      </c>
    </row>
    <row r="86" spans="1:18">
      <c r="A86" s="2" t="str">
        <f>HYPERLINK("https://investorlist.com/investor/world-bank-group?ref=Excel_ViewProfile","View Profile")</f>
        <v>View Profile</v>
      </c>
      <c r="B86" t="s">
        <v>988</v>
      </c>
      <c r="C86" t="s">
        <v>250</v>
      </c>
      <c r="D86" t="s">
        <v>989</v>
      </c>
      <c r="E86" t="s">
        <v>337</v>
      </c>
      <c r="F86" t="s">
        <v>198</v>
      </c>
      <c r="G86" t="s">
        <v>990</v>
      </c>
      <c r="H86" t="s">
        <v>991</v>
      </c>
      <c r="I86" t="s">
        <v>992</v>
      </c>
      <c r="J86" t="s">
        <v>341</v>
      </c>
      <c r="K86" t="s">
        <v>993</v>
      </c>
      <c r="L86">
        <v>1944</v>
      </c>
      <c r="M86" t="s">
        <v>28</v>
      </c>
      <c r="N86" t="s">
        <v>994</v>
      </c>
      <c r="O86" t="s">
        <v>995</v>
      </c>
      <c r="P86" t="s">
        <v>996</v>
      </c>
      <c r="Q86" t="s">
        <v>997</v>
      </c>
      <c r="R86" t="s">
        <v>998</v>
      </c>
    </row>
    <row r="87" spans="1:18">
      <c r="A87" s="2" t="str">
        <f>HYPERLINK("https://investorlist.com/investor/octave-capital?ref=Excel_ViewProfile","View Profile")</f>
        <v>View Profile</v>
      </c>
      <c r="B87" t="s">
        <v>999</v>
      </c>
      <c r="C87" t="s">
        <v>19</v>
      </c>
      <c r="D87" t="s">
        <v>38</v>
      </c>
      <c r="E87" t="s">
        <v>38</v>
      </c>
      <c r="F87" t="s">
        <v>210</v>
      </c>
      <c r="G87" t="s">
        <v>1000</v>
      </c>
      <c r="H87" t="s">
        <v>1001</v>
      </c>
      <c r="I87" t="s">
        <v>38</v>
      </c>
      <c r="J87" t="s">
        <v>38</v>
      </c>
      <c r="K87" t="s">
        <v>1002</v>
      </c>
      <c r="L87">
        <v>1997</v>
      </c>
      <c r="M87" t="s">
        <v>1003</v>
      </c>
      <c r="N87" t="s">
        <v>1004</v>
      </c>
      <c r="O87" t="s">
        <v>1005</v>
      </c>
      <c r="P87" t="s">
        <v>1006</v>
      </c>
      <c r="Q87" t="s">
        <v>1007</v>
      </c>
      <c r="R87" t="s">
        <v>1008</v>
      </c>
    </row>
    <row r="88" spans="1:18">
      <c r="A88" s="2" t="str">
        <f>HYPERLINK("https://investorlist.com/investor/oikocredit?ref=Excel_ViewProfile","View Profile")</f>
        <v>View Profile</v>
      </c>
      <c r="B88" t="s">
        <v>1009</v>
      </c>
      <c r="C88" t="s">
        <v>250</v>
      </c>
      <c r="D88" t="s">
        <v>1010</v>
      </c>
      <c r="E88" t="s">
        <v>1011</v>
      </c>
      <c r="F88" t="s">
        <v>545</v>
      </c>
      <c r="G88" t="s">
        <v>1012</v>
      </c>
      <c r="H88" t="s">
        <v>38</v>
      </c>
      <c r="I88" t="s">
        <v>1013</v>
      </c>
      <c r="J88" t="s">
        <v>1014</v>
      </c>
      <c r="K88" t="s">
        <v>1015</v>
      </c>
      <c r="L88">
        <v>1975</v>
      </c>
      <c r="M88" t="s">
        <v>229</v>
      </c>
      <c r="N88" t="s">
        <v>1016</v>
      </c>
      <c r="O88" t="s">
        <v>1017</v>
      </c>
      <c r="P88" t="s">
        <v>1018</v>
      </c>
      <c r="Q88" t="s">
        <v>1019</v>
      </c>
      <c r="R88" t="s">
        <v>38</v>
      </c>
    </row>
    <row r="89" spans="1:18">
      <c r="A89" s="2" t="str">
        <f>HYPERLINK("https://investorlist.com/investor/hassad-food-company?ref=Excel_ViewProfile","View Profile")</f>
        <v>View Profile</v>
      </c>
      <c r="B89" t="s">
        <v>1020</v>
      </c>
      <c r="C89" t="s">
        <v>1021</v>
      </c>
      <c r="D89" t="s">
        <v>1022</v>
      </c>
      <c r="E89" t="s">
        <v>38</v>
      </c>
      <c r="F89" t="s">
        <v>1023</v>
      </c>
      <c r="G89" t="s">
        <v>1024</v>
      </c>
      <c r="H89" t="s">
        <v>1025</v>
      </c>
      <c r="I89" t="s">
        <v>1026</v>
      </c>
      <c r="J89" t="s">
        <v>1027</v>
      </c>
      <c r="K89" t="s">
        <v>1028</v>
      </c>
      <c r="L89">
        <v>2008</v>
      </c>
      <c r="M89" t="s">
        <v>202</v>
      </c>
      <c r="N89" t="s">
        <v>1029</v>
      </c>
      <c r="O89" t="s">
        <v>1030</v>
      </c>
      <c r="P89" t="s">
        <v>1031</v>
      </c>
      <c r="Q89" t="s">
        <v>1032</v>
      </c>
      <c r="R89" t="s">
        <v>1033</v>
      </c>
    </row>
    <row r="90" spans="1:18">
      <c r="A90" s="2" t="str">
        <f>HYPERLINK("https://investorlist.com/investor/naspers-limited?ref=Excel_ViewProfile","View Profile")</f>
        <v>View Profile</v>
      </c>
      <c r="B90" t="s">
        <v>1034</v>
      </c>
      <c r="C90" t="s">
        <v>250</v>
      </c>
      <c r="D90" t="s">
        <v>1035</v>
      </c>
      <c r="E90" t="s">
        <v>1036</v>
      </c>
      <c r="F90" t="s">
        <v>1037</v>
      </c>
      <c r="G90" t="s">
        <v>1038</v>
      </c>
      <c r="H90" t="s">
        <v>1039</v>
      </c>
      <c r="I90" t="s">
        <v>1040</v>
      </c>
      <c r="J90" t="s">
        <v>1041</v>
      </c>
      <c r="K90" t="s">
        <v>1042</v>
      </c>
      <c r="L90">
        <v>1915</v>
      </c>
      <c r="M90" t="s">
        <v>343</v>
      </c>
      <c r="N90" t="s">
        <v>1043</v>
      </c>
      <c r="O90" t="s">
        <v>1044</v>
      </c>
      <c r="P90" t="s">
        <v>1045</v>
      </c>
      <c r="Q90" t="s">
        <v>1046</v>
      </c>
      <c r="R90" t="s">
        <v>1047</v>
      </c>
    </row>
    <row r="91" spans="1:18">
      <c r="A91" s="2" t="str">
        <f>HYPERLINK("https://investorlist.com/investor/mashreq-capital?ref=Excel_ViewProfile","View Profile")</f>
        <v>View Profile</v>
      </c>
      <c r="B91" t="s">
        <v>1048</v>
      </c>
      <c r="C91" t="s">
        <v>250</v>
      </c>
      <c r="D91" t="s">
        <v>1049</v>
      </c>
      <c r="E91" t="s">
        <v>71</v>
      </c>
      <c r="F91" t="s">
        <v>22</v>
      </c>
      <c r="G91" t="s">
        <v>1050</v>
      </c>
      <c r="H91" t="s">
        <v>1051</v>
      </c>
      <c r="I91" t="s">
        <v>1052</v>
      </c>
      <c r="J91" t="s">
        <v>1053</v>
      </c>
      <c r="K91" t="s">
        <v>1054</v>
      </c>
      <c r="L91">
        <v>2006</v>
      </c>
      <c r="M91" t="s">
        <v>130</v>
      </c>
      <c r="N91" t="s">
        <v>1055</v>
      </c>
      <c r="O91" t="s">
        <v>1056</v>
      </c>
      <c r="P91" t="s">
        <v>1057</v>
      </c>
      <c r="Q91" t="s">
        <v>1058</v>
      </c>
      <c r="R91" t="s">
        <v>1059</v>
      </c>
    </row>
    <row r="92" spans="1:18">
      <c r="A92" s="2" t="str">
        <f>HYPERLINK("https://investorlist.com/investor/actis?ref=Excel_ViewProfile","View Profile")</f>
        <v>View Profile</v>
      </c>
      <c r="B92" t="s">
        <v>1060</v>
      </c>
      <c r="C92" t="s">
        <v>181</v>
      </c>
      <c r="D92" t="s">
        <v>1061</v>
      </c>
      <c r="E92" t="s">
        <v>934</v>
      </c>
      <c r="F92" t="s">
        <v>360</v>
      </c>
      <c r="G92" t="s">
        <v>1062</v>
      </c>
      <c r="H92" t="s">
        <v>1063</v>
      </c>
      <c r="I92" t="s">
        <v>1064</v>
      </c>
      <c r="J92" t="s">
        <v>1065</v>
      </c>
      <c r="K92" t="s">
        <v>1066</v>
      </c>
      <c r="L92">
        <v>2004</v>
      </c>
      <c r="M92" t="s">
        <v>282</v>
      </c>
      <c r="N92" t="s">
        <v>1067</v>
      </c>
      <c r="O92" t="s">
        <v>1068</v>
      </c>
      <c r="P92" t="s">
        <v>1069</v>
      </c>
      <c r="Q92" t="s">
        <v>1070</v>
      </c>
      <c r="R92" t="s">
        <v>1071</v>
      </c>
    </row>
    <row r="93" spans="1:18">
      <c r="A93" s="2" t="str">
        <f>HYPERLINK("https://investorlist.com/investor/indies-capital-partners?ref=Excel_ViewProfile","View Profile")</f>
        <v>View Profile</v>
      </c>
      <c r="B93" t="s">
        <v>1072</v>
      </c>
      <c r="C93" t="s">
        <v>136</v>
      </c>
      <c r="D93" t="s">
        <v>1073</v>
      </c>
      <c r="E93" t="s">
        <v>606</v>
      </c>
      <c r="F93" t="s">
        <v>210</v>
      </c>
      <c r="G93" t="s">
        <v>1074</v>
      </c>
      <c r="H93" t="s">
        <v>1075</v>
      </c>
      <c r="I93" t="s">
        <v>1076</v>
      </c>
      <c r="J93" t="s">
        <v>1077</v>
      </c>
      <c r="K93" t="s">
        <v>1078</v>
      </c>
      <c r="L93" t="s">
        <v>38</v>
      </c>
      <c r="M93" t="s">
        <v>130</v>
      </c>
      <c r="N93" t="s">
        <v>1079</v>
      </c>
      <c r="O93" t="s">
        <v>1080</v>
      </c>
      <c r="P93" t="s">
        <v>723</v>
      </c>
      <c r="Q93" t="s">
        <v>38</v>
      </c>
      <c r="R93" t="s">
        <v>38</v>
      </c>
    </row>
    <row r="94" spans="1:18">
      <c r="A94" s="2" t="str">
        <f>HYPERLINK("https://investorlist.com/investor/alpha-jwc-ventures?ref=Excel_ViewProfile","View Profile")</f>
        <v>View Profile</v>
      </c>
      <c r="B94" t="s">
        <v>1081</v>
      </c>
      <c r="C94" t="s">
        <v>19</v>
      </c>
      <c r="D94" t="s">
        <v>1082</v>
      </c>
      <c r="E94" t="s">
        <v>717</v>
      </c>
      <c r="F94" t="s">
        <v>718</v>
      </c>
      <c r="G94" t="s">
        <v>1083</v>
      </c>
      <c r="H94" t="s">
        <v>38</v>
      </c>
      <c r="I94" t="s">
        <v>1084</v>
      </c>
      <c r="J94" t="s">
        <v>38</v>
      </c>
      <c r="K94" t="s">
        <v>1085</v>
      </c>
      <c r="L94">
        <v>2015</v>
      </c>
      <c r="M94" t="s">
        <v>1086</v>
      </c>
      <c r="N94" t="s">
        <v>19</v>
      </c>
      <c r="O94" t="s">
        <v>1087</v>
      </c>
      <c r="P94" t="s">
        <v>1088</v>
      </c>
      <c r="Q94" t="s">
        <v>1089</v>
      </c>
      <c r="R94" t="s">
        <v>1090</v>
      </c>
    </row>
    <row r="95" spans="1:18">
      <c r="A95" s="2" t="str">
        <f>HYPERLINK("https://investorlist.com/investor/crescendo-equity-partners?ref=Excel_ViewProfile","View Profile")</f>
        <v>View Profile</v>
      </c>
      <c r="B95" t="s">
        <v>1091</v>
      </c>
      <c r="C95" t="s">
        <v>181</v>
      </c>
      <c r="D95" t="s">
        <v>1092</v>
      </c>
      <c r="E95" t="s">
        <v>38</v>
      </c>
      <c r="F95" t="s">
        <v>596</v>
      </c>
      <c r="G95" t="s">
        <v>1093</v>
      </c>
      <c r="H95" t="s">
        <v>38</v>
      </c>
      <c r="I95" t="s">
        <v>1094</v>
      </c>
      <c r="J95" t="s">
        <v>1095</v>
      </c>
      <c r="K95" t="s">
        <v>1096</v>
      </c>
      <c r="L95">
        <v>2012</v>
      </c>
      <c r="M95" t="s">
        <v>130</v>
      </c>
      <c r="N95" t="s">
        <v>217</v>
      </c>
      <c r="O95" t="s">
        <v>1097</v>
      </c>
      <c r="P95" t="s">
        <v>602</v>
      </c>
      <c r="Q95" t="s">
        <v>1098</v>
      </c>
      <c r="R95" t="s">
        <v>1099</v>
      </c>
    </row>
    <row r="96" spans="1:18">
      <c r="A96" s="2" t="str">
        <f>HYPERLINK("https://investorlist.com/investor/china-mobile-communications-group-corporation?ref=Excel_ViewProfile","View Profile")</f>
        <v>View Profile</v>
      </c>
      <c r="B96" t="s">
        <v>1100</v>
      </c>
      <c r="C96" t="s">
        <v>1021</v>
      </c>
      <c r="D96" t="s">
        <v>1101</v>
      </c>
      <c r="E96" t="s">
        <v>1102</v>
      </c>
      <c r="F96" t="s">
        <v>225</v>
      </c>
      <c r="G96" t="s">
        <v>1103</v>
      </c>
      <c r="H96" t="s">
        <v>38</v>
      </c>
      <c r="I96" t="s">
        <v>1104</v>
      </c>
      <c r="J96" t="s">
        <v>1105</v>
      </c>
      <c r="K96" t="s">
        <v>1106</v>
      </c>
      <c r="L96">
        <v>2000</v>
      </c>
      <c r="M96" t="s">
        <v>563</v>
      </c>
      <c r="N96" t="s">
        <v>1107</v>
      </c>
      <c r="O96" t="s">
        <v>1108</v>
      </c>
      <c r="P96" t="s">
        <v>1109</v>
      </c>
      <c r="Q96" t="s">
        <v>1110</v>
      </c>
      <c r="R96" t="s">
        <v>1111</v>
      </c>
    </row>
    <row r="97" spans="1:18">
      <c r="A97" s="2" t="str">
        <f>HYPERLINK("https://investorlist.com/investor/blueorchard?ref=Excel_ViewProfile","View Profile")</f>
        <v>View Profile</v>
      </c>
      <c r="B97" t="s">
        <v>1112</v>
      </c>
      <c r="C97" t="s">
        <v>136</v>
      </c>
      <c r="D97" t="s">
        <v>1113</v>
      </c>
      <c r="E97" t="s">
        <v>1114</v>
      </c>
      <c r="F97" t="s">
        <v>1115</v>
      </c>
      <c r="G97" t="s">
        <v>1116</v>
      </c>
      <c r="H97" t="s">
        <v>1117</v>
      </c>
      <c r="I97" t="s">
        <v>1118</v>
      </c>
      <c r="J97" t="s">
        <v>1119</v>
      </c>
      <c r="K97" t="s">
        <v>1120</v>
      </c>
      <c r="L97">
        <v>2001</v>
      </c>
      <c r="M97" t="s">
        <v>229</v>
      </c>
      <c r="N97" t="s">
        <v>1016</v>
      </c>
      <c r="O97" t="s">
        <v>777</v>
      </c>
      <c r="P97" t="s">
        <v>1121</v>
      </c>
      <c r="Q97" t="s">
        <v>1122</v>
      </c>
      <c r="R97" t="s">
        <v>1123</v>
      </c>
    </row>
    <row r="98" spans="1:18">
      <c r="A98" s="2" t="str">
        <f>HYPERLINK("https://investorlist.com/investor/abu-dhabi-developmental-holding-company?ref=Excel_ViewProfile","View Profile")</f>
        <v>View Profile</v>
      </c>
      <c r="B98" t="s">
        <v>1124</v>
      </c>
      <c r="C98" t="s">
        <v>1021</v>
      </c>
      <c r="D98" t="s">
        <v>1125</v>
      </c>
      <c r="E98" t="s">
        <v>21</v>
      </c>
      <c r="F98" t="s">
        <v>22</v>
      </c>
      <c r="G98" t="s">
        <v>1126</v>
      </c>
      <c r="H98" t="s">
        <v>38</v>
      </c>
      <c r="I98" t="s">
        <v>1127</v>
      </c>
      <c r="J98" t="s">
        <v>38</v>
      </c>
      <c r="K98" t="s">
        <v>1128</v>
      </c>
      <c r="L98">
        <v>2018</v>
      </c>
      <c r="M98" t="s">
        <v>282</v>
      </c>
      <c r="N98" t="s">
        <v>1129</v>
      </c>
      <c r="O98" t="s">
        <v>1130</v>
      </c>
      <c r="P98" t="s">
        <v>1131</v>
      </c>
      <c r="Q98" t="s">
        <v>1132</v>
      </c>
      <c r="R98" t="s">
        <v>1133</v>
      </c>
    </row>
    <row r="99" spans="1:18">
      <c r="A99" s="2" t="str">
        <f>HYPERLINK("https://investorlist.com/investor/east-coast-group?ref=Excel_ViewProfile","View Profile")</f>
        <v>View Profile</v>
      </c>
      <c r="B99" t="s">
        <v>1134</v>
      </c>
      <c r="C99" t="s">
        <v>530</v>
      </c>
      <c r="D99" t="s">
        <v>1135</v>
      </c>
      <c r="E99" t="s">
        <v>1136</v>
      </c>
      <c r="F99" t="s">
        <v>1137</v>
      </c>
      <c r="G99" t="s">
        <v>1138</v>
      </c>
      <c r="H99" t="s">
        <v>38</v>
      </c>
      <c r="I99" t="s">
        <v>1139</v>
      </c>
      <c r="J99" t="s">
        <v>1140</v>
      </c>
      <c r="K99" t="s">
        <v>1141</v>
      </c>
      <c r="L99">
        <v>1977</v>
      </c>
      <c r="M99" t="s">
        <v>229</v>
      </c>
      <c r="N99" t="s">
        <v>1142</v>
      </c>
      <c r="O99" t="s">
        <v>1143</v>
      </c>
      <c r="P99" t="s">
        <v>1144</v>
      </c>
      <c r="Q99" t="s">
        <v>1145</v>
      </c>
      <c r="R99" t="s">
        <v>1146</v>
      </c>
    </row>
    <row r="100" spans="1:18">
      <c r="A100" s="2" t="str">
        <f>HYPERLINK("https://investorlist.com/investor/qualgro-vc?ref=Excel_ViewProfile","View Profile")</f>
        <v>View Profile</v>
      </c>
      <c r="B100" t="s">
        <v>1147</v>
      </c>
      <c r="C100" t="s">
        <v>19</v>
      </c>
      <c r="D100" t="s">
        <v>1148</v>
      </c>
      <c r="E100" t="s">
        <v>606</v>
      </c>
      <c r="F100" t="s">
        <v>210</v>
      </c>
      <c r="G100" t="s">
        <v>1149</v>
      </c>
      <c r="H100" t="s">
        <v>38</v>
      </c>
      <c r="I100" t="s">
        <v>1150</v>
      </c>
      <c r="J100" t="s">
        <v>38</v>
      </c>
      <c r="K100" t="s">
        <v>1151</v>
      </c>
      <c r="L100">
        <v>2015</v>
      </c>
      <c r="M100" t="s">
        <v>87</v>
      </c>
      <c r="N100" t="s">
        <v>19</v>
      </c>
      <c r="O100" t="s">
        <v>1152</v>
      </c>
      <c r="P100" t="s">
        <v>1153</v>
      </c>
      <c r="Q100" t="s">
        <v>1154</v>
      </c>
      <c r="R100" t="s">
        <v>1155</v>
      </c>
    </row>
    <row r="101" spans="1:18">
      <c r="A101" s="2" t="str">
        <f>HYPERLINK("https://investorlist.com/investor/sbk-tech-ventures?ref=Excel_ViewProfile","View Profile")</f>
        <v>View Profile</v>
      </c>
      <c r="B101" t="s">
        <v>1156</v>
      </c>
      <c r="C101" t="s">
        <v>136</v>
      </c>
      <c r="D101" t="s">
        <v>1157</v>
      </c>
      <c r="E101" t="s">
        <v>1136</v>
      </c>
      <c r="F101" t="s">
        <v>1137</v>
      </c>
      <c r="G101" t="s">
        <v>1158</v>
      </c>
      <c r="H101" t="s">
        <v>38</v>
      </c>
      <c r="I101" t="s">
        <v>1159</v>
      </c>
      <c r="J101" t="s">
        <v>1160</v>
      </c>
      <c r="K101" t="s">
        <v>1161</v>
      </c>
      <c r="L101">
        <v>2019</v>
      </c>
      <c r="M101" t="s">
        <v>440</v>
      </c>
      <c r="N101" t="s">
        <v>19</v>
      </c>
      <c r="O101" t="s">
        <v>1162</v>
      </c>
      <c r="P101" t="s">
        <v>1163</v>
      </c>
      <c r="Q101" t="s">
        <v>1164</v>
      </c>
      <c r="R101" t="s">
        <v>1165</v>
      </c>
    </row>
    <row r="102" spans="1:18">
      <c r="A102" s="2" t="str">
        <f>HYPERLINK("https://investorlist.com/investor/tofino-capital?ref=Excel_ViewProfile","View Profile")</f>
        <v>View Profile</v>
      </c>
      <c r="B102" t="s">
        <v>1166</v>
      </c>
      <c r="C102" t="s">
        <v>19</v>
      </c>
      <c r="D102" t="s">
        <v>1167</v>
      </c>
      <c r="E102" t="s">
        <v>337</v>
      </c>
      <c r="F102" t="s">
        <v>198</v>
      </c>
      <c r="G102" t="s">
        <v>1168</v>
      </c>
      <c r="H102" t="s">
        <v>38</v>
      </c>
      <c r="I102" t="s">
        <v>1169</v>
      </c>
      <c r="J102" t="s">
        <v>38</v>
      </c>
      <c r="K102" t="s">
        <v>1170</v>
      </c>
      <c r="L102">
        <v>0</v>
      </c>
      <c r="M102" t="s">
        <v>64</v>
      </c>
      <c r="N102" t="s">
        <v>19</v>
      </c>
      <c r="O102" t="s">
        <v>1171</v>
      </c>
      <c r="P102" t="s">
        <v>1172</v>
      </c>
      <c r="Q102" t="s">
        <v>1173</v>
      </c>
      <c r="R102" t="s">
        <v>1174</v>
      </c>
    </row>
    <row r="103" spans="1:18">
      <c r="A103" s="2" t="str">
        <f>HYPERLINK("https://investorlist.com/investor/british-international-investment-plc?ref=Excel_ViewProfile","View Profile")</f>
        <v>View Profile</v>
      </c>
      <c r="B103" t="s">
        <v>1175</v>
      </c>
      <c r="C103" t="s">
        <v>250</v>
      </c>
      <c r="D103" t="s">
        <v>1176</v>
      </c>
      <c r="E103" t="s">
        <v>38</v>
      </c>
      <c r="F103" t="s">
        <v>360</v>
      </c>
      <c r="G103" t="s">
        <v>361</v>
      </c>
      <c r="H103" t="s">
        <v>362</v>
      </c>
      <c r="I103" t="s">
        <v>1177</v>
      </c>
      <c r="J103" t="s">
        <v>364</v>
      </c>
      <c r="K103" t="s">
        <v>1178</v>
      </c>
      <c r="L103">
        <v>1948</v>
      </c>
      <c r="M103" t="s">
        <v>343</v>
      </c>
      <c r="N103" t="s">
        <v>1179</v>
      </c>
      <c r="O103" t="s">
        <v>1180</v>
      </c>
      <c r="P103" t="s">
        <v>1181</v>
      </c>
      <c r="Q103" t="s">
        <v>1182</v>
      </c>
      <c r="R103" t="s">
        <v>1183</v>
      </c>
    </row>
    <row r="104" spans="1:18">
      <c r="A104" s="2" t="str">
        <f>HYPERLINK("https://investorlist.com/investor/grand-challenges-canada?ref=Excel_ViewProfile","View Profile")</f>
        <v>View Profile</v>
      </c>
      <c r="B104" t="s">
        <v>1184</v>
      </c>
      <c r="C104" t="s">
        <v>35</v>
      </c>
      <c r="D104" t="s">
        <v>1185</v>
      </c>
      <c r="E104" t="s">
        <v>1186</v>
      </c>
      <c r="F104" t="s">
        <v>1187</v>
      </c>
      <c r="G104" t="s">
        <v>1188</v>
      </c>
      <c r="H104" t="s">
        <v>1189</v>
      </c>
      <c r="I104" t="s">
        <v>1190</v>
      </c>
      <c r="J104" t="s">
        <v>1191</v>
      </c>
      <c r="K104" t="s">
        <v>1192</v>
      </c>
      <c r="L104" t="s">
        <v>38</v>
      </c>
      <c r="M104" t="s">
        <v>737</v>
      </c>
      <c r="N104" t="s">
        <v>131</v>
      </c>
      <c r="O104" t="s">
        <v>1193</v>
      </c>
      <c r="P104" t="s">
        <v>1194</v>
      </c>
      <c r="Q104" t="s">
        <v>38</v>
      </c>
      <c r="R104" t="s">
        <v>38</v>
      </c>
    </row>
    <row r="105" spans="1:18">
      <c r="A105" s="2" t="str">
        <f>HYPERLINK("https://investorlist.com/investor/montfort-group?ref=Excel_ViewProfile","View Profile")</f>
        <v>View Profile</v>
      </c>
      <c r="B105" t="s">
        <v>1195</v>
      </c>
      <c r="C105" t="s">
        <v>136</v>
      </c>
      <c r="D105" t="s">
        <v>1196</v>
      </c>
      <c r="E105" t="s">
        <v>38</v>
      </c>
      <c r="F105" t="s">
        <v>1115</v>
      </c>
      <c r="G105" t="s">
        <v>1197</v>
      </c>
      <c r="H105" t="s">
        <v>1198</v>
      </c>
      <c r="I105" t="s">
        <v>1199</v>
      </c>
      <c r="J105" t="s">
        <v>1200</v>
      </c>
      <c r="K105" t="s">
        <v>1201</v>
      </c>
      <c r="L105" t="s">
        <v>38</v>
      </c>
      <c r="M105" t="s">
        <v>612</v>
      </c>
      <c r="N105" t="s">
        <v>1202</v>
      </c>
      <c r="O105" t="s">
        <v>1203</v>
      </c>
      <c r="P105" t="s">
        <v>1204</v>
      </c>
      <c r="Q105" t="s">
        <v>1205</v>
      </c>
      <c r="R105" t="s">
        <v>38</v>
      </c>
    </row>
    <row r="106" spans="1:18">
      <c r="A106" s="2" t="str">
        <f>HYPERLINK("https://investorlist.com/investor/rocket-internet-se?ref=Excel_ViewProfile","View Profile")</f>
        <v>View Profile</v>
      </c>
      <c r="B106" t="s">
        <v>1206</v>
      </c>
      <c r="C106" t="s">
        <v>19</v>
      </c>
      <c r="D106" t="s">
        <v>1207</v>
      </c>
      <c r="E106" t="s">
        <v>1208</v>
      </c>
      <c r="F106" t="s">
        <v>1209</v>
      </c>
      <c r="G106" t="s">
        <v>1210</v>
      </c>
      <c r="H106" t="s">
        <v>1211</v>
      </c>
      <c r="I106" t="s">
        <v>1212</v>
      </c>
      <c r="J106" t="s">
        <v>1213</v>
      </c>
      <c r="K106" t="s">
        <v>1214</v>
      </c>
      <c r="L106">
        <v>2007</v>
      </c>
      <c r="M106" t="s">
        <v>118</v>
      </c>
      <c r="N106" t="s">
        <v>19</v>
      </c>
      <c r="O106" t="s">
        <v>1215</v>
      </c>
      <c r="P106" t="s">
        <v>1216</v>
      </c>
      <c r="Q106" t="s">
        <v>1217</v>
      </c>
      <c r="R106" t="s">
        <v>1218</v>
      </c>
    </row>
    <row r="107" spans="1:18">
      <c r="A107" s="2" t="str">
        <f>HYPERLINK("https://investorlist.com/investor/qualgro-partners-pte-ltd?ref=Excel_ViewProfile","View Profile")</f>
        <v>View Profile</v>
      </c>
      <c r="B107" t="s">
        <v>1219</v>
      </c>
      <c r="C107" t="s">
        <v>19</v>
      </c>
      <c r="D107" t="s">
        <v>1148</v>
      </c>
      <c r="E107" t="s">
        <v>38</v>
      </c>
      <c r="F107" t="s">
        <v>210</v>
      </c>
      <c r="G107" t="s">
        <v>1149</v>
      </c>
      <c r="H107" t="s">
        <v>38</v>
      </c>
      <c r="I107" t="s">
        <v>1150</v>
      </c>
      <c r="J107" t="s">
        <v>38</v>
      </c>
      <c r="K107" t="s">
        <v>1220</v>
      </c>
      <c r="L107">
        <v>2015</v>
      </c>
      <c r="M107" t="s">
        <v>1221</v>
      </c>
      <c r="N107" t="s">
        <v>19</v>
      </c>
      <c r="O107" t="s">
        <v>1222</v>
      </c>
      <c r="P107" t="s">
        <v>644</v>
      </c>
      <c r="Q107" t="s">
        <v>1223</v>
      </c>
      <c r="R107" t="s">
        <v>1224</v>
      </c>
    </row>
    <row r="108" spans="1:18">
      <c r="A108" s="2" t="str">
        <f>HYPERLINK("https://investorlist.com/investor/orchid-asia-group?ref=Excel_ViewProfile","View Profile")</f>
        <v>View Profile</v>
      </c>
      <c r="B108" t="s">
        <v>1225</v>
      </c>
      <c r="C108" t="s">
        <v>19</v>
      </c>
      <c r="D108" t="s">
        <v>1226</v>
      </c>
      <c r="E108" t="s">
        <v>38</v>
      </c>
      <c r="F108" t="s">
        <v>585</v>
      </c>
      <c r="G108" t="s">
        <v>1227</v>
      </c>
      <c r="H108" t="s">
        <v>38</v>
      </c>
      <c r="I108" t="s">
        <v>1228</v>
      </c>
      <c r="J108" t="s">
        <v>1229</v>
      </c>
      <c r="K108" t="s">
        <v>1230</v>
      </c>
      <c r="L108">
        <v>1993</v>
      </c>
      <c r="M108" t="s">
        <v>1231</v>
      </c>
      <c r="N108" t="s">
        <v>19</v>
      </c>
      <c r="O108" t="s">
        <v>1232</v>
      </c>
      <c r="P108" t="s">
        <v>1233</v>
      </c>
      <c r="Q108" t="s">
        <v>1234</v>
      </c>
      <c r="R108" t="s">
        <v>1235</v>
      </c>
    </row>
    <row r="109" spans="1:18">
      <c r="A109" s="2" t="str">
        <f>HYPERLINK("https://investorlist.com/investor/cresventures?ref=Excel_ViewProfile","View Profile")</f>
        <v>View Profile</v>
      </c>
      <c r="B109" t="s">
        <v>1236</v>
      </c>
      <c r="C109" t="s">
        <v>19</v>
      </c>
      <c r="D109" t="s">
        <v>1237</v>
      </c>
      <c r="E109" t="s">
        <v>805</v>
      </c>
      <c r="F109" t="s">
        <v>806</v>
      </c>
      <c r="G109" t="s">
        <v>1238</v>
      </c>
      <c r="H109" t="s">
        <v>38</v>
      </c>
      <c r="I109" t="s">
        <v>38</v>
      </c>
      <c r="J109" t="s">
        <v>38</v>
      </c>
      <c r="K109" t="s">
        <v>1239</v>
      </c>
      <c r="L109">
        <v>2015</v>
      </c>
      <c r="M109" t="s">
        <v>863</v>
      </c>
      <c r="N109" t="s">
        <v>19</v>
      </c>
      <c r="O109" t="s">
        <v>1240</v>
      </c>
      <c r="P109" t="s">
        <v>812</v>
      </c>
      <c r="Q109" t="s">
        <v>1241</v>
      </c>
      <c r="R109" t="s">
        <v>1242</v>
      </c>
    </row>
    <row r="110" spans="1:18">
      <c r="A110" s="2" t="str">
        <f>HYPERLINK("https://investorlist.com/investor/planx?ref=Excel_ViewProfile","View Profile")</f>
        <v>View Profile</v>
      </c>
      <c r="B110" t="s">
        <v>1243</v>
      </c>
      <c r="C110" t="s">
        <v>19</v>
      </c>
      <c r="D110" t="s">
        <v>1244</v>
      </c>
      <c r="E110" t="s">
        <v>805</v>
      </c>
      <c r="F110" t="s">
        <v>806</v>
      </c>
      <c r="G110" t="s">
        <v>1245</v>
      </c>
      <c r="H110" t="s">
        <v>38</v>
      </c>
      <c r="I110" t="s">
        <v>1246</v>
      </c>
      <c r="J110" t="s">
        <v>1247</v>
      </c>
      <c r="K110" t="s">
        <v>1248</v>
      </c>
      <c r="L110">
        <v>2014</v>
      </c>
      <c r="M110" t="s">
        <v>600</v>
      </c>
      <c r="N110" t="s">
        <v>19</v>
      </c>
      <c r="O110" t="s">
        <v>1249</v>
      </c>
      <c r="P110" t="s">
        <v>812</v>
      </c>
      <c r="Q110" t="s">
        <v>1250</v>
      </c>
      <c r="R110" t="s">
        <v>1251</v>
      </c>
    </row>
    <row r="111" spans="1:18">
      <c r="A111" s="2" t="str">
        <f>HYPERLINK("https://investorlist.com/investor/venturedive?ref=Excel_ViewProfile","View Profile")</f>
        <v>View Profile</v>
      </c>
      <c r="B111" t="s">
        <v>1252</v>
      </c>
      <c r="C111" t="s">
        <v>136</v>
      </c>
      <c r="D111" t="s">
        <v>1253</v>
      </c>
      <c r="E111" t="s">
        <v>312</v>
      </c>
      <c r="F111" t="s">
        <v>198</v>
      </c>
      <c r="G111" t="s">
        <v>1254</v>
      </c>
      <c r="H111" t="s">
        <v>38</v>
      </c>
      <c r="I111" t="s">
        <v>1255</v>
      </c>
      <c r="J111" t="s">
        <v>1256</v>
      </c>
      <c r="K111" t="s">
        <v>1257</v>
      </c>
      <c r="L111">
        <v>2012</v>
      </c>
      <c r="M111" t="s">
        <v>600</v>
      </c>
      <c r="N111" t="s">
        <v>217</v>
      </c>
      <c r="O111" t="s">
        <v>1258</v>
      </c>
      <c r="P111" t="s">
        <v>1259</v>
      </c>
      <c r="Q111" t="s">
        <v>1260</v>
      </c>
      <c r="R111" t="s">
        <v>1261</v>
      </c>
    </row>
    <row r="112" spans="1:18">
      <c r="A112" s="2" t="str">
        <f>HYPERLINK("https://investorlist.com/investor/rebright-partners?ref=Excel_ViewProfile","View Profile")</f>
        <v>View Profile</v>
      </c>
      <c r="B112" t="s">
        <v>1262</v>
      </c>
      <c r="C112" t="s">
        <v>19</v>
      </c>
      <c r="D112" t="s">
        <v>1263</v>
      </c>
      <c r="E112" t="s">
        <v>783</v>
      </c>
      <c r="F112" t="s">
        <v>784</v>
      </c>
      <c r="G112" t="s">
        <v>1264</v>
      </c>
      <c r="H112" t="s">
        <v>1265</v>
      </c>
      <c r="I112" t="s">
        <v>1266</v>
      </c>
      <c r="J112" t="s">
        <v>38</v>
      </c>
      <c r="K112" t="s">
        <v>1267</v>
      </c>
      <c r="L112">
        <v>2008</v>
      </c>
      <c r="M112" t="s">
        <v>64</v>
      </c>
      <c r="N112" t="s">
        <v>19</v>
      </c>
      <c r="O112" t="s">
        <v>1268</v>
      </c>
      <c r="P112" t="s">
        <v>1269</v>
      </c>
      <c r="Q112" t="s">
        <v>1270</v>
      </c>
      <c r="R112" t="s">
        <v>1271</v>
      </c>
    </row>
    <row r="113" spans="1:18">
      <c r="A113" s="2" t="str">
        <f>HYPERLINK("https://investorlist.com/investor/abercross-holdings?ref=Excel_ViewProfile","View Profile")</f>
        <v>View Profile</v>
      </c>
      <c r="B113" t="s">
        <v>1272</v>
      </c>
      <c r="C113" t="s">
        <v>181</v>
      </c>
      <c r="D113" t="s">
        <v>1273</v>
      </c>
      <c r="E113" t="s">
        <v>934</v>
      </c>
      <c r="F113" t="s">
        <v>360</v>
      </c>
      <c r="G113" t="s">
        <v>1274</v>
      </c>
      <c r="H113" t="s">
        <v>1275</v>
      </c>
      <c r="I113" t="s">
        <v>1276</v>
      </c>
      <c r="J113" t="s">
        <v>38</v>
      </c>
      <c r="K113" t="s">
        <v>1277</v>
      </c>
      <c r="L113">
        <v>2016</v>
      </c>
      <c r="M113" t="s">
        <v>1278</v>
      </c>
      <c r="N113" t="s">
        <v>217</v>
      </c>
      <c r="O113" t="s">
        <v>1279</v>
      </c>
      <c r="P113" t="s">
        <v>1280</v>
      </c>
      <c r="Q113" t="s">
        <v>1281</v>
      </c>
      <c r="R113" t="s">
        <v>1282</v>
      </c>
    </row>
    <row r="114" spans="1:18">
      <c r="A114" s="2" t="str">
        <f>HYPERLINK("https://investorlist.com/investor/al-rashed-group-holding-company?ref=Excel_ViewProfile","View Profile")</f>
        <v>View Profile</v>
      </c>
      <c r="B114" t="s">
        <v>1283</v>
      </c>
      <c r="C114" t="s">
        <v>162</v>
      </c>
      <c r="D114" t="s">
        <v>1284</v>
      </c>
      <c r="E114" t="s">
        <v>1285</v>
      </c>
      <c r="F114" t="s">
        <v>46</v>
      </c>
      <c r="G114" t="s">
        <v>1286</v>
      </c>
      <c r="H114" t="s">
        <v>1287</v>
      </c>
      <c r="I114" t="s">
        <v>1288</v>
      </c>
      <c r="J114" t="s">
        <v>1289</v>
      </c>
      <c r="K114" t="s">
        <v>1290</v>
      </c>
      <c r="L114">
        <v>2000</v>
      </c>
      <c r="M114" t="s">
        <v>563</v>
      </c>
      <c r="N114" t="s">
        <v>1291</v>
      </c>
      <c r="O114" t="s">
        <v>1292</v>
      </c>
      <c r="P114" t="s">
        <v>1293</v>
      </c>
      <c r="Q114" t="s">
        <v>1294</v>
      </c>
      <c r="R114" t="s">
        <v>1295</v>
      </c>
    </row>
    <row r="115" spans="1:18">
      <c r="A115" s="2" t="str">
        <f>HYPERLINK("https://investorlist.com/investor/zaina-investments-llc?ref=Excel_ViewProfile","View Profile")</f>
        <v>View Profile</v>
      </c>
      <c r="B115" t="s">
        <v>1296</v>
      </c>
      <c r="C115" t="s">
        <v>162</v>
      </c>
      <c r="D115" t="s">
        <v>1297</v>
      </c>
      <c r="E115" t="s">
        <v>71</v>
      </c>
      <c r="F115" t="s">
        <v>22</v>
      </c>
      <c r="G115" t="s">
        <v>1298</v>
      </c>
      <c r="H115" t="s">
        <v>38</v>
      </c>
      <c r="I115" t="s">
        <v>1299</v>
      </c>
      <c r="J115" t="s">
        <v>1300</v>
      </c>
      <c r="K115" t="s">
        <v>1301</v>
      </c>
      <c r="L115">
        <v>2013</v>
      </c>
      <c r="M115" t="s">
        <v>1302</v>
      </c>
      <c r="N115" t="s">
        <v>167</v>
      </c>
      <c r="O115" t="s">
        <v>177</v>
      </c>
      <c r="P115" t="s">
        <v>1303</v>
      </c>
      <c r="Q115" t="s">
        <v>1304</v>
      </c>
      <c r="R115" t="s">
        <v>38</v>
      </c>
    </row>
    <row r="116" spans="1:18">
      <c r="A116" s="2" t="str">
        <f>HYPERLINK("https://investorlist.com/investor/alinma-investment?ref=Excel_ViewProfile","View Profile")</f>
        <v>View Profile</v>
      </c>
      <c r="B116" t="s">
        <v>1305</v>
      </c>
      <c r="C116" t="s">
        <v>136</v>
      </c>
      <c r="D116" t="s">
        <v>1306</v>
      </c>
      <c r="E116" t="s">
        <v>457</v>
      </c>
      <c r="F116" t="s">
        <v>301</v>
      </c>
      <c r="G116" t="s">
        <v>1307</v>
      </c>
      <c r="H116" t="s">
        <v>1308</v>
      </c>
      <c r="I116" t="s">
        <v>1309</v>
      </c>
      <c r="J116" t="s">
        <v>1310</v>
      </c>
      <c r="K116" t="s">
        <v>1311</v>
      </c>
      <c r="L116">
        <v>2009</v>
      </c>
      <c r="M116" t="s">
        <v>537</v>
      </c>
      <c r="N116" t="s">
        <v>1312</v>
      </c>
      <c r="O116" t="s">
        <v>1313</v>
      </c>
      <c r="P116" t="s">
        <v>1314</v>
      </c>
      <c r="Q116" t="s">
        <v>1315</v>
      </c>
      <c r="R116" t="s">
        <v>1316</v>
      </c>
    </row>
    <row r="117" spans="1:18">
      <c r="A117" s="2" t="str">
        <f>HYPERLINK("https://investorlist.com/investor/albilad-capital?ref=Excel_ViewProfile","View Profile")</f>
        <v>View Profile</v>
      </c>
      <c r="B117" t="s">
        <v>1317</v>
      </c>
      <c r="C117" t="s">
        <v>136</v>
      </c>
      <c r="D117" t="s">
        <v>1318</v>
      </c>
      <c r="E117" t="s">
        <v>457</v>
      </c>
      <c r="F117" t="s">
        <v>301</v>
      </c>
      <c r="G117" t="s">
        <v>1319</v>
      </c>
      <c r="H117" t="s">
        <v>1320</v>
      </c>
      <c r="I117" t="s">
        <v>1321</v>
      </c>
      <c r="J117" t="s">
        <v>1322</v>
      </c>
      <c r="K117" t="s">
        <v>1323</v>
      </c>
      <c r="L117" t="s">
        <v>38</v>
      </c>
      <c r="M117" t="s">
        <v>28</v>
      </c>
      <c r="N117" t="s">
        <v>1324</v>
      </c>
      <c r="O117" t="s">
        <v>1325</v>
      </c>
      <c r="P117" t="s">
        <v>1326</v>
      </c>
      <c r="Q117" t="s">
        <v>38</v>
      </c>
      <c r="R117" t="s">
        <v>38</v>
      </c>
    </row>
    <row r="118" spans="1:18">
      <c r="A118" s="2" t="str">
        <f>HYPERLINK("https://investorlist.com/investor/wadia-group?ref=Excel_ViewProfile","View Profile")</f>
        <v>View Profile</v>
      </c>
      <c r="B118" t="s">
        <v>1327</v>
      </c>
      <c r="C118" t="s">
        <v>530</v>
      </c>
      <c r="D118" t="s">
        <v>1328</v>
      </c>
      <c r="E118" t="s">
        <v>1329</v>
      </c>
      <c r="F118" t="s">
        <v>572</v>
      </c>
      <c r="G118" t="s">
        <v>1330</v>
      </c>
      <c r="H118" t="s">
        <v>38</v>
      </c>
      <c r="I118" t="s">
        <v>1331</v>
      </c>
      <c r="J118" t="s">
        <v>38</v>
      </c>
      <c r="K118" t="s">
        <v>1332</v>
      </c>
      <c r="L118">
        <v>1736</v>
      </c>
      <c r="M118" t="s">
        <v>1333</v>
      </c>
      <c r="N118" t="s">
        <v>167</v>
      </c>
      <c r="O118" t="s">
        <v>1334</v>
      </c>
      <c r="P118" t="s">
        <v>1335</v>
      </c>
      <c r="Q118" t="s">
        <v>1336</v>
      </c>
      <c r="R118" t="s">
        <v>1337</v>
      </c>
    </row>
    <row r="119" spans="1:18">
      <c r="A119" s="2" t="str">
        <f>HYPERLINK("https://investorlist.com/investor/vertex-growth?ref=Excel_ViewProfile","View Profile")</f>
        <v>View Profile</v>
      </c>
      <c r="B119" t="s">
        <v>1338</v>
      </c>
      <c r="C119" t="s">
        <v>19</v>
      </c>
      <c r="D119" t="s">
        <v>1339</v>
      </c>
      <c r="E119" t="s">
        <v>399</v>
      </c>
      <c r="F119" t="s">
        <v>210</v>
      </c>
      <c r="G119" t="s">
        <v>1340</v>
      </c>
      <c r="H119" t="s">
        <v>38</v>
      </c>
      <c r="I119" t="s">
        <v>1341</v>
      </c>
      <c r="J119" t="s">
        <v>1342</v>
      </c>
      <c r="K119" t="s">
        <v>1343</v>
      </c>
      <c r="L119">
        <v>2019</v>
      </c>
      <c r="M119" t="s">
        <v>1344</v>
      </c>
      <c r="N119" t="s">
        <v>19</v>
      </c>
      <c r="O119" t="s">
        <v>1345</v>
      </c>
      <c r="P119" t="s">
        <v>1346</v>
      </c>
      <c r="Q119" t="s">
        <v>1347</v>
      </c>
      <c r="R119" t="s">
        <v>1348</v>
      </c>
    </row>
    <row r="120" spans="1:18">
      <c r="A120" s="2" t="str">
        <f>HYPERLINK("https://investorlist.com/investor/tata-sons?ref=Excel_ViewProfile","View Profile")</f>
        <v>View Profile</v>
      </c>
      <c r="B120" t="s">
        <v>1349</v>
      </c>
      <c r="C120" t="s">
        <v>530</v>
      </c>
      <c r="D120" t="s">
        <v>1350</v>
      </c>
      <c r="E120" t="s">
        <v>1329</v>
      </c>
      <c r="F120" t="s">
        <v>572</v>
      </c>
      <c r="G120" t="s">
        <v>1351</v>
      </c>
      <c r="H120" t="s">
        <v>38</v>
      </c>
      <c r="I120" t="s">
        <v>1352</v>
      </c>
      <c r="J120" t="s">
        <v>1353</v>
      </c>
      <c r="K120" t="s">
        <v>1354</v>
      </c>
      <c r="L120">
        <v>1868</v>
      </c>
      <c r="M120" t="s">
        <v>229</v>
      </c>
      <c r="N120" t="s">
        <v>1355</v>
      </c>
      <c r="O120" t="s">
        <v>1356</v>
      </c>
      <c r="P120" t="s">
        <v>1357</v>
      </c>
      <c r="Q120" t="s">
        <v>1358</v>
      </c>
      <c r="R120" t="s">
        <v>1359</v>
      </c>
    </row>
    <row r="121" spans="1:18">
      <c r="A121" s="2" t="str">
        <f>HYPERLINK("https://investorlist.com/investor/sanaka-capital?ref=Excel_ViewProfile","View Profile")</f>
        <v>View Profile</v>
      </c>
      <c r="B121" t="s">
        <v>1360</v>
      </c>
      <c r="C121" t="s">
        <v>136</v>
      </c>
      <c r="D121" t="s">
        <v>1361</v>
      </c>
      <c r="E121" t="s">
        <v>1329</v>
      </c>
      <c r="F121" t="s">
        <v>572</v>
      </c>
      <c r="G121" t="s">
        <v>1362</v>
      </c>
      <c r="H121" t="s">
        <v>38</v>
      </c>
      <c r="I121" t="s">
        <v>1363</v>
      </c>
      <c r="J121" t="s">
        <v>1364</v>
      </c>
      <c r="K121" t="s">
        <v>1365</v>
      </c>
      <c r="L121">
        <v>0</v>
      </c>
      <c r="M121" t="s">
        <v>1366</v>
      </c>
      <c r="N121" t="s">
        <v>1367</v>
      </c>
      <c r="O121" t="s">
        <v>1368</v>
      </c>
      <c r="P121" t="s">
        <v>1369</v>
      </c>
      <c r="Q121" t="s">
        <v>1370</v>
      </c>
      <c r="R121" t="s">
        <v>1371</v>
      </c>
    </row>
    <row r="122" spans="1:18">
      <c r="A122" s="2" t="str">
        <f>HYPERLINK("https://investorlist.com/investor/future-positive?ref=Excel_ViewProfile","View Profile")</f>
        <v>View Profile</v>
      </c>
      <c r="B122" t="s">
        <v>1372</v>
      </c>
      <c r="C122" t="s">
        <v>19</v>
      </c>
      <c r="D122" t="s">
        <v>1373</v>
      </c>
      <c r="E122" t="s">
        <v>324</v>
      </c>
      <c r="F122" t="s">
        <v>198</v>
      </c>
      <c r="G122" t="s">
        <v>1374</v>
      </c>
      <c r="H122" t="s">
        <v>38</v>
      </c>
      <c r="I122" t="s">
        <v>1375</v>
      </c>
      <c r="J122" t="s">
        <v>1376</v>
      </c>
      <c r="K122" t="s">
        <v>1377</v>
      </c>
      <c r="L122">
        <v>0</v>
      </c>
      <c r="M122" t="s">
        <v>1378</v>
      </c>
      <c r="N122" t="s">
        <v>19</v>
      </c>
      <c r="O122" t="s">
        <v>1379</v>
      </c>
      <c r="P122" t="s">
        <v>1380</v>
      </c>
      <c r="Q122" t="s">
        <v>1381</v>
      </c>
      <c r="R122" t="s">
        <v>1382</v>
      </c>
    </row>
    <row r="123" spans="1:18">
      <c r="A123" s="2" t="str">
        <f>HYPERLINK("https://investorlist.com/investor/quona-capital-management?ref=Excel_ViewProfile","View Profile")</f>
        <v>View Profile</v>
      </c>
      <c r="B123" t="s">
        <v>1383</v>
      </c>
      <c r="C123" t="s">
        <v>19</v>
      </c>
      <c r="D123" t="s">
        <v>1384</v>
      </c>
      <c r="E123" t="s">
        <v>337</v>
      </c>
      <c r="F123" t="s">
        <v>198</v>
      </c>
      <c r="G123" t="s">
        <v>1385</v>
      </c>
      <c r="H123" t="s">
        <v>38</v>
      </c>
      <c r="I123" t="s">
        <v>1386</v>
      </c>
      <c r="J123" t="s">
        <v>1387</v>
      </c>
      <c r="K123" t="s">
        <v>1388</v>
      </c>
      <c r="L123">
        <v>2015</v>
      </c>
      <c r="M123" t="s">
        <v>76</v>
      </c>
      <c r="N123" t="s">
        <v>19</v>
      </c>
      <c r="O123" t="s">
        <v>1152</v>
      </c>
      <c r="P123" t="s">
        <v>1389</v>
      </c>
      <c r="Q123" t="s">
        <v>1390</v>
      </c>
      <c r="R123" t="s">
        <v>1391</v>
      </c>
    </row>
    <row r="124" spans="1:18">
      <c r="A124" s="2" t="str">
        <f>HYPERLINK("https://investorlist.com/investor/healthxcapital?ref=Excel_ViewProfile","View Profile")</f>
        <v>View Profile</v>
      </c>
      <c r="B124" t="s">
        <v>1392</v>
      </c>
      <c r="C124" t="s">
        <v>19</v>
      </c>
      <c r="D124" t="s">
        <v>1393</v>
      </c>
      <c r="E124" t="s">
        <v>38</v>
      </c>
      <c r="F124" t="s">
        <v>210</v>
      </c>
      <c r="G124" t="s">
        <v>1394</v>
      </c>
      <c r="H124" t="s">
        <v>38</v>
      </c>
      <c r="I124" t="s">
        <v>1395</v>
      </c>
      <c r="J124" t="s">
        <v>38</v>
      </c>
      <c r="K124" t="s">
        <v>1396</v>
      </c>
      <c r="L124">
        <v>2017</v>
      </c>
      <c r="M124" t="s">
        <v>1397</v>
      </c>
      <c r="N124" t="s">
        <v>19</v>
      </c>
      <c r="O124" t="s">
        <v>1398</v>
      </c>
      <c r="P124" t="s">
        <v>1399</v>
      </c>
      <c r="Q124" t="s">
        <v>1400</v>
      </c>
      <c r="R124" t="s">
        <v>1401</v>
      </c>
    </row>
    <row r="125" spans="1:18">
      <c r="A125" s="2" t="str">
        <f>HYPERLINK("https://investorlist.com/investor/alternate-ventures-pte-ltd?ref=Excel_ViewProfile","View Profile")</f>
        <v>View Profile</v>
      </c>
      <c r="B125" t="s">
        <v>1402</v>
      </c>
      <c r="C125" t="s">
        <v>19</v>
      </c>
      <c r="D125" t="s">
        <v>1403</v>
      </c>
      <c r="E125" t="s">
        <v>38</v>
      </c>
      <c r="F125" t="s">
        <v>210</v>
      </c>
      <c r="G125" t="s">
        <v>1404</v>
      </c>
      <c r="H125" t="s">
        <v>38</v>
      </c>
      <c r="I125" t="s">
        <v>1405</v>
      </c>
      <c r="J125" t="s">
        <v>1406</v>
      </c>
      <c r="K125" t="s">
        <v>1407</v>
      </c>
      <c r="L125">
        <v>2018</v>
      </c>
      <c r="M125" t="s">
        <v>1397</v>
      </c>
      <c r="N125" t="s">
        <v>19</v>
      </c>
      <c r="O125" t="s">
        <v>1408</v>
      </c>
      <c r="P125" t="s">
        <v>1409</v>
      </c>
      <c r="Q125" t="s">
        <v>1410</v>
      </c>
      <c r="R125" t="s">
        <v>38</v>
      </c>
    </row>
    <row r="126" spans="1:18">
      <c r="A126" s="2" t="str">
        <f>HYPERLINK("https://investorlist.com/investor/aavishkaar-venture-management-services?ref=Excel_ViewProfile","View Profile")</f>
        <v>View Profile</v>
      </c>
      <c r="B126" t="s">
        <v>1411</v>
      </c>
      <c r="C126" t="s">
        <v>19</v>
      </c>
      <c r="D126" t="s">
        <v>1412</v>
      </c>
      <c r="E126" t="s">
        <v>1329</v>
      </c>
      <c r="F126" t="s">
        <v>572</v>
      </c>
      <c r="G126" t="s">
        <v>1413</v>
      </c>
      <c r="H126" t="s">
        <v>1414</v>
      </c>
      <c r="I126" t="s">
        <v>1415</v>
      </c>
      <c r="J126" t="s">
        <v>1416</v>
      </c>
      <c r="K126" t="s">
        <v>1417</v>
      </c>
      <c r="L126">
        <v>2006</v>
      </c>
      <c r="M126" t="s">
        <v>737</v>
      </c>
      <c r="N126" t="s">
        <v>1418</v>
      </c>
      <c r="O126" t="s">
        <v>1419</v>
      </c>
      <c r="P126" t="s">
        <v>1420</v>
      </c>
      <c r="Q126" t="s">
        <v>1421</v>
      </c>
      <c r="R126" t="s">
        <v>1422</v>
      </c>
    </row>
    <row r="127" spans="1:18">
      <c r="A127" s="2" t="str">
        <f>HYPERLINK("https://investorlist.com/investor/dsp-asset-managers-private-limited?ref=Excel_ViewProfile","View Profile")</f>
        <v>View Profile</v>
      </c>
      <c r="B127" t="s">
        <v>1423</v>
      </c>
      <c r="C127" t="s">
        <v>1424</v>
      </c>
      <c r="D127" t="s">
        <v>1425</v>
      </c>
      <c r="E127" t="s">
        <v>1329</v>
      </c>
      <c r="F127" t="s">
        <v>572</v>
      </c>
      <c r="G127" t="s">
        <v>1426</v>
      </c>
      <c r="H127" t="s">
        <v>38</v>
      </c>
      <c r="I127" t="s">
        <v>1427</v>
      </c>
      <c r="J127" t="s">
        <v>1428</v>
      </c>
      <c r="K127" t="s">
        <v>1429</v>
      </c>
      <c r="L127">
        <v>2021</v>
      </c>
      <c r="M127" t="s">
        <v>130</v>
      </c>
      <c r="N127" t="s">
        <v>1430</v>
      </c>
      <c r="O127" t="s">
        <v>1431</v>
      </c>
      <c r="P127" t="s">
        <v>1432</v>
      </c>
      <c r="Q127" t="s">
        <v>1433</v>
      </c>
      <c r="R127" t="s">
        <v>1434</v>
      </c>
    </row>
    <row r="128" spans="1:18">
      <c r="A128" s="2" t="str">
        <f>HYPERLINK("https://investorlist.com/investor/new-silk-route-partners-llc?ref=Excel_ViewProfile","View Profile")</f>
        <v>View Profile</v>
      </c>
      <c r="B128" t="s">
        <v>1435</v>
      </c>
      <c r="C128" t="s">
        <v>181</v>
      </c>
      <c r="D128" t="s">
        <v>1436</v>
      </c>
      <c r="E128" t="s">
        <v>324</v>
      </c>
      <c r="F128" t="s">
        <v>198</v>
      </c>
      <c r="G128" t="s">
        <v>1437</v>
      </c>
      <c r="H128" t="s">
        <v>1438</v>
      </c>
      <c r="I128" t="s">
        <v>1439</v>
      </c>
      <c r="J128" t="s">
        <v>1440</v>
      </c>
      <c r="K128" t="s">
        <v>1441</v>
      </c>
      <c r="L128">
        <v>2006</v>
      </c>
      <c r="M128" t="s">
        <v>282</v>
      </c>
      <c r="N128" t="s">
        <v>217</v>
      </c>
      <c r="O128" t="s">
        <v>1442</v>
      </c>
      <c r="P128" t="s">
        <v>1443</v>
      </c>
      <c r="Q128" t="s">
        <v>1444</v>
      </c>
      <c r="R128" t="s">
        <v>1445</v>
      </c>
    </row>
    <row r="129" spans="1:18">
      <c r="A129" s="2" t="str">
        <f>HYPERLINK("https://investorlist.com/investor/sahara-india-pariwar?ref=Excel_ViewProfile","View Profile")</f>
        <v>View Profile</v>
      </c>
      <c r="B129" t="s">
        <v>1446</v>
      </c>
      <c r="C129" t="s">
        <v>136</v>
      </c>
      <c r="D129" t="s">
        <v>1447</v>
      </c>
      <c r="E129" t="s">
        <v>1448</v>
      </c>
      <c r="F129" t="s">
        <v>572</v>
      </c>
      <c r="G129" t="s">
        <v>1449</v>
      </c>
      <c r="H129" t="s">
        <v>1450</v>
      </c>
      <c r="I129" t="s">
        <v>1451</v>
      </c>
      <c r="J129" t="s">
        <v>1452</v>
      </c>
      <c r="K129" t="s">
        <v>1453</v>
      </c>
      <c r="L129">
        <v>1978</v>
      </c>
      <c r="M129" t="s">
        <v>563</v>
      </c>
      <c r="N129" t="s">
        <v>1454</v>
      </c>
      <c r="O129" t="s">
        <v>1455</v>
      </c>
      <c r="P129" t="s">
        <v>1456</v>
      </c>
      <c r="Q129" t="s">
        <v>1457</v>
      </c>
      <c r="R129" t="s">
        <v>1458</v>
      </c>
    </row>
    <row r="130" spans="1:18">
      <c r="A130" s="2" t="str">
        <f>HYPERLINK("https://investorlist.com/investor/nri-angels?ref=Excel_ViewProfile","View Profile")</f>
        <v>View Profile</v>
      </c>
      <c r="B130" t="s">
        <v>1459</v>
      </c>
      <c r="C130" t="s">
        <v>150</v>
      </c>
      <c r="D130" t="s">
        <v>38</v>
      </c>
      <c r="E130" t="s">
        <v>38</v>
      </c>
      <c r="F130" t="s">
        <v>198</v>
      </c>
      <c r="G130" t="s">
        <v>1460</v>
      </c>
      <c r="H130" t="s">
        <v>38</v>
      </c>
      <c r="I130" t="s">
        <v>1461</v>
      </c>
      <c r="J130" t="s">
        <v>1462</v>
      </c>
      <c r="K130" t="s">
        <v>1463</v>
      </c>
      <c r="L130">
        <v>2020</v>
      </c>
      <c r="M130" t="s">
        <v>64</v>
      </c>
      <c r="N130" t="s">
        <v>19</v>
      </c>
      <c r="O130" t="s">
        <v>1464</v>
      </c>
      <c r="P130" t="s">
        <v>1465</v>
      </c>
      <c r="Q130" t="s">
        <v>1466</v>
      </c>
      <c r="R130" t="s">
        <v>1467</v>
      </c>
    </row>
    <row r="131" spans="1:18">
      <c r="A131" s="2" t="str">
        <f>HYPERLINK("https://investorlist.com/investor/china-eurasia-economic-cooperation-fund?ref=Excel_ViewProfile","View Profile")</f>
        <v>View Profile</v>
      </c>
      <c r="B131" t="s">
        <v>1468</v>
      </c>
      <c r="C131" t="s">
        <v>1021</v>
      </c>
      <c r="D131" t="s">
        <v>1469</v>
      </c>
      <c r="E131" t="s">
        <v>1102</v>
      </c>
      <c r="F131" t="s">
        <v>225</v>
      </c>
      <c r="G131" t="s">
        <v>1470</v>
      </c>
      <c r="H131" t="s">
        <v>38</v>
      </c>
      <c r="I131" t="s">
        <v>38</v>
      </c>
      <c r="J131" t="s">
        <v>38</v>
      </c>
      <c r="K131" t="s">
        <v>1471</v>
      </c>
      <c r="L131">
        <v>2015</v>
      </c>
      <c r="M131" t="s">
        <v>1302</v>
      </c>
      <c r="N131" t="s">
        <v>217</v>
      </c>
      <c r="O131" t="s">
        <v>1472</v>
      </c>
      <c r="P131" t="s">
        <v>1473</v>
      </c>
      <c r="Q131" t="s">
        <v>1474</v>
      </c>
      <c r="R131" t="s">
        <v>1475</v>
      </c>
    </row>
    <row r="132" spans="1:18">
      <c r="A132" s="2" t="str">
        <f>HYPERLINK("https://investorlist.com/investor/habib-bank-limited?ref=Excel_ViewProfile","View Profile")</f>
        <v>View Profile</v>
      </c>
      <c r="B132" t="s">
        <v>1476</v>
      </c>
      <c r="C132" t="s">
        <v>250</v>
      </c>
      <c r="D132" t="s">
        <v>1477</v>
      </c>
      <c r="E132" t="s">
        <v>38</v>
      </c>
      <c r="F132" t="s">
        <v>806</v>
      </c>
      <c r="G132" t="s">
        <v>1478</v>
      </c>
      <c r="H132" t="s">
        <v>38</v>
      </c>
      <c r="I132" t="s">
        <v>1479</v>
      </c>
      <c r="J132" t="s">
        <v>1480</v>
      </c>
      <c r="K132" t="s">
        <v>1481</v>
      </c>
      <c r="L132">
        <v>1941</v>
      </c>
      <c r="M132" t="s">
        <v>343</v>
      </c>
      <c r="N132" t="s">
        <v>380</v>
      </c>
      <c r="O132" t="s">
        <v>1482</v>
      </c>
      <c r="P132" t="s">
        <v>1483</v>
      </c>
      <c r="Q132" t="s">
        <v>1484</v>
      </c>
      <c r="R132" t="s">
        <v>1485</v>
      </c>
    </row>
    <row r="133" spans="1:18">
      <c r="A133" s="2" t="str">
        <f>HYPERLINK("https://investorlist.com/investor/pak-oman-investment-company-limited?ref=Excel_ViewProfile","View Profile")</f>
        <v>View Profile</v>
      </c>
      <c r="B133" t="s">
        <v>1486</v>
      </c>
      <c r="C133" t="s">
        <v>1487</v>
      </c>
      <c r="D133" t="s">
        <v>1488</v>
      </c>
      <c r="E133" t="s">
        <v>846</v>
      </c>
      <c r="F133" t="s">
        <v>806</v>
      </c>
      <c r="G133" t="s">
        <v>1489</v>
      </c>
      <c r="H133" t="s">
        <v>38</v>
      </c>
      <c r="I133" t="s">
        <v>1490</v>
      </c>
      <c r="J133" t="s">
        <v>1491</v>
      </c>
      <c r="K133" t="s">
        <v>1492</v>
      </c>
      <c r="L133">
        <v>2001</v>
      </c>
      <c r="M133" t="s">
        <v>1493</v>
      </c>
      <c r="N133" t="s">
        <v>1494</v>
      </c>
      <c r="O133" t="s">
        <v>1495</v>
      </c>
      <c r="P133" t="s">
        <v>1496</v>
      </c>
      <c r="Q133" t="s">
        <v>1497</v>
      </c>
      <c r="R133" t="s">
        <v>1498</v>
      </c>
    </row>
    <row r="134" spans="1:18">
      <c r="A134" s="2" t="str">
        <f>HYPERLINK("https://investorlist.com/investor/pak-libya-holding-company?ref=Excel_ViewProfile","View Profile")</f>
        <v>View Profile</v>
      </c>
      <c r="B134" t="s">
        <v>1499</v>
      </c>
      <c r="C134" t="s">
        <v>250</v>
      </c>
      <c r="D134" t="s">
        <v>1500</v>
      </c>
      <c r="E134" t="s">
        <v>38</v>
      </c>
      <c r="F134" t="s">
        <v>806</v>
      </c>
      <c r="G134" t="s">
        <v>1501</v>
      </c>
      <c r="H134" t="s">
        <v>38</v>
      </c>
      <c r="I134" t="s">
        <v>1502</v>
      </c>
      <c r="J134" t="s">
        <v>1503</v>
      </c>
      <c r="K134" t="s">
        <v>1504</v>
      </c>
      <c r="L134">
        <v>1978</v>
      </c>
      <c r="M134" t="s">
        <v>202</v>
      </c>
      <c r="N134" t="s">
        <v>1505</v>
      </c>
      <c r="O134" t="s">
        <v>1506</v>
      </c>
      <c r="P134" t="s">
        <v>1507</v>
      </c>
      <c r="Q134" t="s">
        <v>1508</v>
      </c>
      <c r="R134" t="s">
        <v>1509</v>
      </c>
    </row>
    <row r="135" spans="1:18">
      <c r="A135" s="2" t="str">
        <f>HYPERLINK("https://investorlist.com/investor/pak-brunei-investment-company-limited?ref=Excel_ViewProfile","View Profile")</f>
        <v>View Profile</v>
      </c>
      <c r="B135" t="s">
        <v>1510</v>
      </c>
      <c r="C135" t="s">
        <v>250</v>
      </c>
      <c r="D135" t="s">
        <v>1511</v>
      </c>
      <c r="E135" t="s">
        <v>846</v>
      </c>
      <c r="F135" t="s">
        <v>806</v>
      </c>
      <c r="G135" t="s">
        <v>1512</v>
      </c>
      <c r="H135" t="s">
        <v>38</v>
      </c>
      <c r="I135" t="s">
        <v>1513</v>
      </c>
      <c r="J135" t="s">
        <v>1514</v>
      </c>
      <c r="K135" t="s">
        <v>1515</v>
      </c>
      <c r="L135">
        <v>2006</v>
      </c>
      <c r="M135" t="s">
        <v>130</v>
      </c>
      <c r="N135" t="s">
        <v>1516</v>
      </c>
      <c r="O135" t="s">
        <v>1517</v>
      </c>
      <c r="P135" t="s">
        <v>1518</v>
      </c>
      <c r="Q135" t="s">
        <v>1519</v>
      </c>
      <c r="R135" t="s">
        <v>1520</v>
      </c>
    </row>
    <row r="136" spans="1:18">
      <c r="A136" s="2" t="str">
        <f>HYPERLINK("https://investorlist.com/investor/chakra-growth-capital?ref=Excel_ViewProfile","View Profile")</f>
        <v>View Profile</v>
      </c>
      <c r="B136" t="s">
        <v>1521</v>
      </c>
      <c r="C136" t="s">
        <v>19</v>
      </c>
      <c r="D136" t="s">
        <v>1522</v>
      </c>
      <c r="E136" t="s">
        <v>1523</v>
      </c>
      <c r="F136" t="s">
        <v>572</v>
      </c>
      <c r="G136" t="s">
        <v>1524</v>
      </c>
      <c r="H136" t="s">
        <v>38</v>
      </c>
      <c r="I136" t="s">
        <v>38</v>
      </c>
      <c r="J136" t="s">
        <v>38</v>
      </c>
      <c r="K136" t="s">
        <v>1525</v>
      </c>
      <c r="L136">
        <v>2024</v>
      </c>
      <c r="M136" t="s">
        <v>1526</v>
      </c>
      <c r="N136" t="s">
        <v>19</v>
      </c>
      <c r="O136" t="s">
        <v>1527</v>
      </c>
      <c r="P136" t="s">
        <v>1528</v>
      </c>
      <c r="Q136" t="s">
        <v>1529</v>
      </c>
      <c r="R136" t="s">
        <v>1530</v>
      </c>
    </row>
    <row r="137" spans="1:18">
      <c r="A137" s="2" t="str">
        <f>HYPERLINK("https://investorlist.com/investor/frontier-digital-ventures?ref=Excel_ViewProfile","View Profile")</f>
        <v>View Profile</v>
      </c>
      <c r="B137" t="s">
        <v>1531</v>
      </c>
      <c r="C137" t="s">
        <v>136</v>
      </c>
      <c r="D137" t="s">
        <v>1532</v>
      </c>
      <c r="E137" t="s">
        <v>1533</v>
      </c>
      <c r="F137" t="s">
        <v>253</v>
      </c>
      <c r="G137" t="s">
        <v>1534</v>
      </c>
      <c r="H137" t="s">
        <v>1535</v>
      </c>
      <c r="I137" t="s">
        <v>1536</v>
      </c>
      <c r="J137" t="s">
        <v>1537</v>
      </c>
      <c r="K137" t="s">
        <v>1538</v>
      </c>
      <c r="L137">
        <v>2014</v>
      </c>
      <c r="M137" t="s">
        <v>1539</v>
      </c>
      <c r="N137" t="s">
        <v>1540</v>
      </c>
      <c r="O137" t="s">
        <v>1541</v>
      </c>
      <c r="P137" t="s">
        <v>1542</v>
      </c>
      <c r="Q137" t="s">
        <v>1543</v>
      </c>
      <c r="R137" t="s">
        <v>1544</v>
      </c>
    </row>
    <row r="138" spans="1:18">
      <c r="A138" s="2" t="str">
        <f>HYPERLINK("https://investorlist.com/investor/maple-leaf-capital-limited?ref=Excel_ViewProfile","View Profile")</f>
        <v>View Profile</v>
      </c>
      <c r="B138" t="s">
        <v>1545</v>
      </c>
      <c r="C138" t="s">
        <v>136</v>
      </c>
      <c r="D138" t="s">
        <v>1546</v>
      </c>
      <c r="E138" t="s">
        <v>38</v>
      </c>
      <c r="F138" t="s">
        <v>806</v>
      </c>
      <c r="G138" t="s">
        <v>1547</v>
      </c>
      <c r="H138" t="s">
        <v>38</v>
      </c>
      <c r="I138" t="s">
        <v>1548</v>
      </c>
      <c r="J138" t="s">
        <v>1549</v>
      </c>
      <c r="K138" t="s">
        <v>1550</v>
      </c>
      <c r="L138">
        <v>2014</v>
      </c>
      <c r="M138" t="s">
        <v>600</v>
      </c>
      <c r="N138" t="s">
        <v>19</v>
      </c>
      <c r="O138" t="s">
        <v>1551</v>
      </c>
      <c r="P138" t="s">
        <v>1552</v>
      </c>
      <c r="Q138" t="s">
        <v>1553</v>
      </c>
      <c r="R138" t="s">
        <v>1554</v>
      </c>
    </row>
    <row r="139" spans="1:18">
      <c r="A139" s="2" t="str">
        <f>HYPERLINK("https://investorlist.com/investor/kaya-founders?ref=Excel_ViewProfile","View Profile")</f>
        <v>View Profile</v>
      </c>
      <c r="B139" t="s">
        <v>1555</v>
      </c>
      <c r="C139" t="s">
        <v>19</v>
      </c>
      <c r="D139" t="s">
        <v>1556</v>
      </c>
      <c r="E139" t="s">
        <v>38</v>
      </c>
      <c r="F139" t="s">
        <v>210</v>
      </c>
      <c r="G139" t="s">
        <v>1557</v>
      </c>
      <c r="H139" t="s">
        <v>38</v>
      </c>
      <c r="I139" t="s">
        <v>1558</v>
      </c>
      <c r="J139" t="s">
        <v>1559</v>
      </c>
      <c r="K139" t="s">
        <v>1560</v>
      </c>
      <c r="L139">
        <v>2021</v>
      </c>
      <c r="M139" t="s">
        <v>677</v>
      </c>
      <c r="N139" t="s">
        <v>19</v>
      </c>
      <c r="O139" t="s">
        <v>1561</v>
      </c>
      <c r="P139" t="s">
        <v>723</v>
      </c>
      <c r="Q139" t="s">
        <v>1562</v>
      </c>
      <c r="R139" t="s">
        <v>1563</v>
      </c>
    </row>
    <row r="140" spans="1:18">
      <c r="A140" s="2" t="str">
        <f>HYPERLINK("https://investorlist.com/investor/teja-ventures?ref=Excel_ViewProfile","View Profile")</f>
        <v>View Profile</v>
      </c>
      <c r="B140" t="s">
        <v>1564</v>
      </c>
      <c r="C140" t="s">
        <v>19</v>
      </c>
      <c r="D140" t="s">
        <v>1565</v>
      </c>
      <c r="E140" t="s">
        <v>38</v>
      </c>
      <c r="F140" t="s">
        <v>210</v>
      </c>
      <c r="G140" t="s">
        <v>1566</v>
      </c>
      <c r="H140" t="s">
        <v>1567</v>
      </c>
      <c r="I140" t="s">
        <v>1568</v>
      </c>
      <c r="J140" t="s">
        <v>1569</v>
      </c>
      <c r="K140" t="s">
        <v>1570</v>
      </c>
      <c r="L140">
        <v>0</v>
      </c>
      <c r="M140" t="s">
        <v>1571</v>
      </c>
      <c r="N140" t="s">
        <v>19</v>
      </c>
      <c r="O140" t="s">
        <v>1572</v>
      </c>
      <c r="P140" t="s">
        <v>1573</v>
      </c>
      <c r="Q140" t="s">
        <v>1574</v>
      </c>
      <c r="R140" t="s">
        <v>1575</v>
      </c>
    </row>
    <row r="141" spans="1:18">
      <c r="A141" s="2" t="str">
        <f>HYPERLINK("https://investorlist.com/investor/gfr-fund?ref=Excel_ViewProfile","View Profile")</f>
        <v>View Profile</v>
      </c>
      <c r="B141" t="s">
        <v>1576</v>
      </c>
      <c r="C141" t="s">
        <v>19</v>
      </c>
      <c r="D141" t="s">
        <v>1577</v>
      </c>
      <c r="E141" t="s">
        <v>312</v>
      </c>
      <c r="F141" t="s">
        <v>198</v>
      </c>
      <c r="G141" t="s">
        <v>1578</v>
      </c>
      <c r="H141" t="s">
        <v>1579</v>
      </c>
      <c r="I141" t="s">
        <v>1580</v>
      </c>
      <c r="J141" t="s">
        <v>1581</v>
      </c>
      <c r="K141" t="s">
        <v>1582</v>
      </c>
      <c r="L141">
        <v>2016</v>
      </c>
      <c r="M141" t="s">
        <v>1583</v>
      </c>
      <c r="N141" t="s">
        <v>19</v>
      </c>
      <c r="O141" t="s">
        <v>1584</v>
      </c>
      <c r="P141" t="s">
        <v>1585</v>
      </c>
      <c r="Q141" t="s">
        <v>1586</v>
      </c>
      <c r="R141" t="s">
        <v>1587</v>
      </c>
    </row>
    <row r="142" spans="1:18">
      <c r="A142" s="2" t="str">
        <f>HYPERLINK("https://investorlist.com/investor/orbit-startups?ref=Excel_ViewProfile","View Profile")</f>
        <v>View Profile</v>
      </c>
      <c r="B142" t="s">
        <v>1588</v>
      </c>
      <c r="C142" t="s">
        <v>19</v>
      </c>
      <c r="D142" t="s">
        <v>606</v>
      </c>
      <c r="E142" t="s">
        <v>38</v>
      </c>
      <c r="F142" t="s">
        <v>210</v>
      </c>
      <c r="G142" t="s">
        <v>1589</v>
      </c>
      <c r="H142" t="s">
        <v>38</v>
      </c>
      <c r="I142" t="s">
        <v>1590</v>
      </c>
      <c r="J142" t="s">
        <v>38</v>
      </c>
      <c r="K142" t="s">
        <v>1591</v>
      </c>
      <c r="L142">
        <v>2010</v>
      </c>
      <c r="M142" t="s">
        <v>1592</v>
      </c>
      <c r="N142" t="s">
        <v>19</v>
      </c>
      <c r="O142" t="s">
        <v>1593</v>
      </c>
      <c r="P142" t="s">
        <v>1594</v>
      </c>
      <c r="Q142" t="s">
        <v>1595</v>
      </c>
      <c r="R142" t="s">
        <v>1596</v>
      </c>
    </row>
    <row r="143" spans="1:18">
      <c r="A143" s="2" t="str">
        <f>HYPERLINK("https://investorlist.com/investor/seedstars-international-ventures?ref=Excel_ViewProfile","View Profile")</f>
        <v>View Profile</v>
      </c>
      <c r="B143" t="s">
        <v>1597</v>
      </c>
      <c r="C143" t="s">
        <v>19</v>
      </c>
      <c r="D143" t="s">
        <v>1598</v>
      </c>
      <c r="E143" t="s">
        <v>1599</v>
      </c>
      <c r="F143" t="s">
        <v>1115</v>
      </c>
      <c r="G143" t="s">
        <v>1600</v>
      </c>
      <c r="H143" t="s">
        <v>1601</v>
      </c>
      <c r="I143" t="s">
        <v>1602</v>
      </c>
      <c r="J143" t="s">
        <v>1603</v>
      </c>
      <c r="K143" t="s">
        <v>1604</v>
      </c>
      <c r="L143">
        <v>2012</v>
      </c>
      <c r="M143" t="s">
        <v>677</v>
      </c>
      <c r="N143" t="s">
        <v>19</v>
      </c>
      <c r="O143" t="s">
        <v>1605</v>
      </c>
      <c r="P143" t="s">
        <v>1606</v>
      </c>
      <c r="Q143" t="s">
        <v>1607</v>
      </c>
      <c r="R143" t="s">
        <v>1608</v>
      </c>
    </row>
    <row r="144" spans="1:18">
      <c r="A144" s="2" t="str">
        <f>HYPERLINK("https://investorlist.com/investor/bashar-hamood?ref=Excel_ViewProfile","View Profile")</f>
        <v>View Profile</v>
      </c>
      <c r="B144" t="s">
        <v>1609</v>
      </c>
      <c r="C144" t="s">
        <v>19</v>
      </c>
      <c r="D144" t="s">
        <v>92</v>
      </c>
      <c r="E144" t="s">
        <v>38</v>
      </c>
      <c r="F144" t="s">
        <v>22</v>
      </c>
      <c r="G144" t="s">
        <v>1610</v>
      </c>
      <c r="H144" t="s">
        <v>1611</v>
      </c>
      <c r="I144" t="s">
        <v>1612</v>
      </c>
      <c r="J144" t="s">
        <v>1613</v>
      </c>
      <c r="K144" t="s">
        <v>1614</v>
      </c>
      <c r="L144">
        <v>2010</v>
      </c>
      <c r="M144" t="s">
        <v>677</v>
      </c>
      <c r="N144" t="s">
        <v>19</v>
      </c>
      <c r="O144" t="s">
        <v>1615</v>
      </c>
      <c r="P144" t="s">
        <v>1616</v>
      </c>
      <c r="Q144" t="s">
        <v>1617</v>
      </c>
      <c r="R144" t="s">
        <v>1618</v>
      </c>
    </row>
    <row r="145" spans="1:18">
      <c r="A145" s="2" t="str">
        <f>HYPERLINK("https://investorlist.com/investor/first-check-ventures?ref=Excel_ViewProfile","View Profile")</f>
        <v>View Profile</v>
      </c>
      <c r="B145" t="s">
        <v>1619</v>
      </c>
      <c r="C145" t="s">
        <v>19</v>
      </c>
      <c r="D145" t="s">
        <v>38</v>
      </c>
      <c r="E145" t="s">
        <v>38</v>
      </c>
      <c r="F145" t="s">
        <v>198</v>
      </c>
      <c r="G145" t="s">
        <v>1620</v>
      </c>
      <c r="H145" t="s">
        <v>1621</v>
      </c>
      <c r="I145" t="s">
        <v>1622</v>
      </c>
      <c r="J145" t="s">
        <v>38</v>
      </c>
      <c r="K145" t="s">
        <v>1623</v>
      </c>
      <c r="L145">
        <v>2020</v>
      </c>
      <c r="M145" t="s">
        <v>863</v>
      </c>
      <c r="N145" t="s">
        <v>19</v>
      </c>
      <c r="O145" t="s">
        <v>1624</v>
      </c>
      <c r="P145" t="s">
        <v>1625</v>
      </c>
      <c r="Q145" t="s">
        <v>1626</v>
      </c>
      <c r="R145" t="s">
        <v>1627</v>
      </c>
    </row>
    <row r="146" spans="1:18">
      <c r="A146" s="2" t="str">
        <f>HYPERLINK("https://investorlist.com/investor/accelerating-asia?ref=Excel_ViewProfile","View Profile")</f>
        <v>View Profile</v>
      </c>
      <c r="B146" t="s">
        <v>1628</v>
      </c>
      <c r="C146" t="s">
        <v>19</v>
      </c>
      <c r="D146" t="s">
        <v>1629</v>
      </c>
      <c r="E146" t="s">
        <v>38</v>
      </c>
      <c r="F146" t="s">
        <v>210</v>
      </c>
      <c r="G146" t="s">
        <v>1630</v>
      </c>
      <c r="H146" t="s">
        <v>38</v>
      </c>
      <c r="I146" t="s">
        <v>1631</v>
      </c>
      <c r="J146" t="s">
        <v>38</v>
      </c>
      <c r="K146" t="s">
        <v>1632</v>
      </c>
      <c r="L146">
        <v>2019</v>
      </c>
      <c r="M146" t="s">
        <v>64</v>
      </c>
      <c r="N146" t="s">
        <v>19</v>
      </c>
      <c r="O146" t="s">
        <v>1633</v>
      </c>
      <c r="P146" t="s">
        <v>1634</v>
      </c>
      <c r="Q146" t="s">
        <v>1635</v>
      </c>
      <c r="R146" t="s">
        <v>1636</v>
      </c>
    </row>
    <row r="147" spans="1:18">
      <c r="A147" s="2" t="str">
        <f>HYPERLINK("https://investorlist.com/investor/amand-ventures?ref=Excel_ViewProfile","View Profile")</f>
        <v>View Profile</v>
      </c>
      <c r="B147" t="s">
        <v>1637</v>
      </c>
      <c r="C147" t="s">
        <v>19</v>
      </c>
      <c r="D147" t="s">
        <v>1638</v>
      </c>
      <c r="E147" t="s">
        <v>38</v>
      </c>
      <c r="F147" t="s">
        <v>210</v>
      </c>
      <c r="G147" t="s">
        <v>1639</v>
      </c>
      <c r="H147" t="s">
        <v>38</v>
      </c>
      <c r="I147" t="s">
        <v>1640</v>
      </c>
      <c r="J147" t="s">
        <v>1641</v>
      </c>
      <c r="K147" t="s">
        <v>1642</v>
      </c>
      <c r="L147">
        <v>2016</v>
      </c>
      <c r="M147" t="s">
        <v>64</v>
      </c>
      <c r="N147" t="s">
        <v>19</v>
      </c>
      <c r="O147" t="s">
        <v>231</v>
      </c>
      <c r="P147" t="s">
        <v>1643</v>
      </c>
      <c r="Q147" t="s">
        <v>1644</v>
      </c>
      <c r="R147" t="s">
        <v>1645</v>
      </c>
    </row>
    <row r="148" spans="1:18">
      <c r="A148" s="2" t="str">
        <f>HYPERLINK("https://investorlist.com/investor/dubai-cultiv8-investments-limited?ref=Excel_ViewProfile","View Profile")</f>
        <v>View Profile</v>
      </c>
      <c r="B148" t="s">
        <v>1646</v>
      </c>
      <c r="C148" t="s">
        <v>136</v>
      </c>
      <c r="D148" t="s">
        <v>1647</v>
      </c>
      <c r="E148" t="s">
        <v>71</v>
      </c>
      <c r="F148" t="s">
        <v>22</v>
      </c>
      <c r="G148" t="s">
        <v>387</v>
      </c>
      <c r="H148" t="s">
        <v>388</v>
      </c>
      <c r="I148" t="s">
        <v>389</v>
      </c>
      <c r="J148" t="s">
        <v>390</v>
      </c>
      <c r="K148" t="s">
        <v>1648</v>
      </c>
      <c r="L148">
        <v>2018</v>
      </c>
      <c r="M148" t="s">
        <v>229</v>
      </c>
      <c r="N148" t="s">
        <v>392</v>
      </c>
      <c r="O148" t="s">
        <v>393</v>
      </c>
      <c r="P148" t="s">
        <v>394</v>
      </c>
      <c r="Q148" t="s">
        <v>395</v>
      </c>
      <c r="R148" t="s">
        <v>396</v>
      </c>
    </row>
    <row r="149" spans="1:18">
      <c r="A149" s="2" t="str">
        <f>HYPERLINK("https://investorlist.com/investor/ralicap-ventures?ref=Excel_ViewProfile","View Profile")</f>
        <v>View Profile</v>
      </c>
      <c r="B149" t="s">
        <v>1649</v>
      </c>
      <c r="C149" t="s">
        <v>19</v>
      </c>
      <c r="D149" t="s">
        <v>1650</v>
      </c>
      <c r="E149" t="s">
        <v>38</v>
      </c>
      <c r="F149" t="s">
        <v>198</v>
      </c>
      <c r="G149" t="s">
        <v>1651</v>
      </c>
      <c r="H149" t="s">
        <v>38</v>
      </c>
      <c r="I149" t="s">
        <v>1652</v>
      </c>
      <c r="J149" t="s">
        <v>38</v>
      </c>
      <c r="K149" t="s">
        <v>1653</v>
      </c>
      <c r="L149">
        <v>2020</v>
      </c>
      <c r="M149" t="s">
        <v>97</v>
      </c>
      <c r="N149" t="s">
        <v>19</v>
      </c>
      <c r="O149" t="s">
        <v>1654</v>
      </c>
      <c r="P149" t="s">
        <v>1655</v>
      </c>
      <c r="Q149" t="s">
        <v>1656</v>
      </c>
      <c r="R149" t="s">
        <v>1657</v>
      </c>
    </row>
    <row r="150" spans="1:18">
      <c r="A150" s="2" t="str">
        <f>HYPERLINK("https://investorlist.com/investor/hub71?ref=Excel_ViewProfile","View Profile")</f>
        <v>View Profile</v>
      </c>
      <c r="B150" t="s">
        <v>1658</v>
      </c>
      <c r="C150" t="s">
        <v>530</v>
      </c>
      <c r="D150" t="s">
        <v>1659</v>
      </c>
      <c r="E150" t="s">
        <v>21</v>
      </c>
      <c r="F150" t="s">
        <v>22</v>
      </c>
      <c r="G150" t="s">
        <v>1660</v>
      </c>
      <c r="H150" t="s">
        <v>1661</v>
      </c>
      <c r="I150" t="s">
        <v>1662</v>
      </c>
      <c r="J150" t="s">
        <v>1663</v>
      </c>
      <c r="K150" t="s">
        <v>1664</v>
      </c>
      <c r="L150">
        <v>2019</v>
      </c>
      <c r="M150" t="s">
        <v>118</v>
      </c>
      <c r="N150" t="s">
        <v>19</v>
      </c>
      <c r="O150" t="s">
        <v>1665</v>
      </c>
      <c r="P150" t="s">
        <v>1666</v>
      </c>
      <c r="Q150" t="s">
        <v>1667</v>
      </c>
      <c r="R150" t="s">
        <v>1668</v>
      </c>
    </row>
    <row r="151" spans="1:18">
      <c r="A151" s="2" t="str">
        <f>HYPERLINK("https://investorlist.com/investor/krungsri-finnovate-co-ltd?ref=Excel_ViewProfile","View Profile")</f>
        <v>View Profile</v>
      </c>
      <c r="B151" t="s">
        <v>1669</v>
      </c>
      <c r="C151" t="s">
        <v>530</v>
      </c>
      <c r="D151" t="s">
        <v>1670</v>
      </c>
      <c r="E151" t="s">
        <v>1671</v>
      </c>
      <c r="F151" t="s">
        <v>1672</v>
      </c>
      <c r="G151" t="s">
        <v>1673</v>
      </c>
      <c r="H151" t="s">
        <v>1674</v>
      </c>
      <c r="I151" t="s">
        <v>1675</v>
      </c>
      <c r="J151" t="s">
        <v>1676</v>
      </c>
      <c r="K151" t="s">
        <v>1677</v>
      </c>
      <c r="L151">
        <v>2017</v>
      </c>
      <c r="M151" t="s">
        <v>1678</v>
      </c>
      <c r="N151" t="s">
        <v>19</v>
      </c>
      <c r="O151" t="s">
        <v>1679</v>
      </c>
      <c r="P151" t="s">
        <v>723</v>
      </c>
      <c r="Q151" t="s">
        <v>1680</v>
      </c>
      <c r="R151" t="s">
        <v>1681</v>
      </c>
    </row>
    <row r="152" spans="1:18">
      <c r="A152" s="2" t="str">
        <f>HYPERLINK("https://investorlist.com/investor/tmt-ventures-pvt-ltd?ref=Excel_ViewProfile","View Profile")</f>
        <v>View Profile</v>
      </c>
      <c r="B152" t="s">
        <v>1682</v>
      </c>
      <c r="C152" t="s">
        <v>19</v>
      </c>
      <c r="D152" t="s">
        <v>1683</v>
      </c>
      <c r="E152" t="s">
        <v>846</v>
      </c>
      <c r="F152" t="s">
        <v>806</v>
      </c>
      <c r="G152" t="s">
        <v>1684</v>
      </c>
      <c r="H152" t="s">
        <v>38</v>
      </c>
      <c r="I152" t="s">
        <v>1685</v>
      </c>
      <c r="J152" t="s">
        <v>1686</v>
      </c>
      <c r="K152" t="s">
        <v>1687</v>
      </c>
      <c r="L152">
        <v>2002</v>
      </c>
      <c r="M152" t="s">
        <v>1571</v>
      </c>
      <c r="N152" t="s">
        <v>19</v>
      </c>
      <c r="O152" t="s">
        <v>1688</v>
      </c>
      <c r="P152" t="s">
        <v>812</v>
      </c>
      <c r="Q152" t="s">
        <v>1689</v>
      </c>
      <c r="R152" t="s">
        <v>1690</v>
      </c>
    </row>
    <row r="153" spans="1:18">
      <c r="A153" s="2" t="str">
        <f>HYPERLINK("https://investorlist.com/investor/fikrah-ventures?ref=Excel_ViewProfile","View Profile")</f>
        <v>View Profile</v>
      </c>
      <c r="B153" t="s">
        <v>1691</v>
      </c>
      <c r="C153" t="s">
        <v>19</v>
      </c>
      <c r="D153" t="s">
        <v>1692</v>
      </c>
      <c r="E153" t="s">
        <v>470</v>
      </c>
      <c r="F153" t="s">
        <v>301</v>
      </c>
      <c r="G153" t="s">
        <v>1693</v>
      </c>
      <c r="H153" t="s">
        <v>1694</v>
      </c>
      <c r="I153" t="s">
        <v>1695</v>
      </c>
      <c r="J153" t="s">
        <v>1696</v>
      </c>
      <c r="K153" t="s">
        <v>1697</v>
      </c>
      <c r="L153">
        <v>2023</v>
      </c>
      <c r="M153" t="s">
        <v>600</v>
      </c>
      <c r="N153" t="s">
        <v>19</v>
      </c>
      <c r="O153" t="s">
        <v>1698</v>
      </c>
      <c r="P153" t="s">
        <v>99</v>
      </c>
      <c r="Q153" t="s">
        <v>1699</v>
      </c>
      <c r="R153" t="s">
        <v>1700</v>
      </c>
    </row>
    <row r="154" spans="1:18">
      <c r="A154" s="2" t="str">
        <f>HYPERLINK("https://investorlist.com/investor/granite-asia?ref=Excel_ViewProfile","View Profile")</f>
        <v>View Profile</v>
      </c>
      <c r="B154" t="s">
        <v>1701</v>
      </c>
      <c r="C154" t="s">
        <v>19</v>
      </c>
      <c r="D154" t="s">
        <v>1702</v>
      </c>
      <c r="E154" t="s">
        <v>38</v>
      </c>
      <c r="F154" t="s">
        <v>210</v>
      </c>
      <c r="G154" t="s">
        <v>1703</v>
      </c>
      <c r="H154" t="s">
        <v>38</v>
      </c>
      <c r="I154" t="s">
        <v>1704</v>
      </c>
      <c r="J154" t="s">
        <v>1705</v>
      </c>
      <c r="K154" t="s">
        <v>1706</v>
      </c>
      <c r="L154">
        <v>2024</v>
      </c>
      <c r="M154" t="s">
        <v>1707</v>
      </c>
      <c r="N154" t="s">
        <v>1708</v>
      </c>
      <c r="O154" t="s">
        <v>1709</v>
      </c>
      <c r="P154" t="s">
        <v>1710</v>
      </c>
      <c r="Q154" t="s">
        <v>1711</v>
      </c>
      <c r="R154" t="s">
        <v>1712</v>
      </c>
    </row>
    <row r="155" spans="1:18">
      <c r="A155" s="2" t="str">
        <f>HYPERLINK("https://investorlist.com/investor/roselake-ventures?ref=Excel_ViewProfile","View Profile")</f>
        <v>View Profile</v>
      </c>
      <c r="B155" t="s">
        <v>1713</v>
      </c>
      <c r="C155" t="s">
        <v>19</v>
      </c>
      <c r="D155" t="s">
        <v>1714</v>
      </c>
      <c r="E155" t="s">
        <v>38</v>
      </c>
      <c r="F155" t="s">
        <v>585</v>
      </c>
      <c r="G155" t="s">
        <v>1715</v>
      </c>
      <c r="H155" t="s">
        <v>1716</v>
      </c>
      <c r="I155" t="s">
        <v>1717</v>
      </c>
      <c r="J155" t="s">
        <v>38</v>
      </c>
      <c r="K155" t="s">
        <v>1718</v>
      </c>
      <c r="L155">
        <v>2021</v>
      </c>
      <c r="M155" t="s">
        <v>1719</v>
      </c>
      <c r="N155" t="s">
        <v>19</v>
      </c>
      <c r="O155" t="s">
        <v>1720</v>
      </c>
      <c r="P155" t="s">
        <v>1721</v>
      </c>
      <c r="Q155" t="s">
        <v>1722</v>
      </c>
      <c r="R155" t="s">
        <v>1723</v>
      </c>
    </row>
    <row r="156" spans="1:18">
      <c r="A156" s="2" t="str">
        <f>HYPERLINK("https://investorlist.com/investor/brick-mortar-ventures?ref=Excel_ViewProfile","View Profile")</f>
        <v>View Profile</v>
      </c>
      <c r="B156" t="s">
        <v>1724</v>
      </c>
      <c r="C156" t="s">
        <v>19</v>
      </c>
      <c r="D156" t="s">
        <v>1725</v>
      </c>
      <c r="E156" t="s">
        <v>312</v>
      </c>
      <c r="F156" t="s">
        <v>198</v>
      </c>
      <c r="G156" t="s">
        <v>1726</v>
      </c>
      <c r="H156" t="s">
        <v>1727</v>
      </c>
      <c r="I156" t="s">
        <v>1728</v>
      </c>
      <c r="J156" t="s">
        <v>1729</v>
      </c>
      <c r="K156" t="s">
        <v>1730</v>
      </c>
      <c r="L156">
        <v>2015</v>
      </c>
      <c r="M156" t="s">
        <v>863</v>
      </c>
      <c r="N156" t="s">
        <v>19</v>
      </c>
      <c r="O156" t="s">
        <v>1731</v>
      </c>
      <c r="P156" t="s">
        <v>1732</v>
      </c>
      <c r="Q156" t="s">
        <v>1733</v>
      </c>
      <c r="R156" t="s">
        <v>1734</v>
      </c>
    </row>
    <row r="157" spans="1:18">
      <c r="A157" s="2" t="str">
        <f>HYPERLINK("https://investorlist.com/investor/taurus-ventures?ref=Excel_ViewProfile","View Profile")</f>
        <v>View Profile</v>
      </c>
      <c r="B157" t="s">
        <v>1735</v>
      </c>
      <c r="C157" t="s">
        <v>19</v>
      </c>
      <c r="D157" t="s">
        <v>424</v>
      </c>
      <c r="E157" t="s">
        <v>312</v>
      </c>
      <c r="F157" t="s">
        <v>198</v>
      </c>
      <c r="G157" t="s">
        <v>1736</v>
      </c>
      <c r="H157" t="s">
        <v>38</v>
      </c>
      <c r="I157" t="s">
        <v>1737</v>
      </c>
      <c r="J157" t="s">
        <v>38</v>
      </c>
      <c r="K157" t="s">
        <v>1738</v>
      </c>
      <c r="L157">
        <v>2015</v>
      </c>
      <c r="M157" t="s">
        <v>1739</v>
      </c>
      <c r="N157" t="s">
        <v>19</v>
      </c>
      <c r="O157" t="s">
        <v>1740</v>
      </c>
      <c r="P157" t="s">
        <v>1741</v>
      </c>
      <c r="Q157" t="s">
        <v>1742</v>
      </c>
      <c r="R157" t="s">
        <v>1743</v>
      </c>
    </row>
    <row r="158" spans="1:18">
      <c r="A158" s="2" t="str">
        <f>HYPERLINK("https://investorlist.com/investor/gobi-partners?ref=Excel_ViewProfile","View Profile")</f>
        <v>View Profile</v>
      </c>
      <c r="B158" t="s">
        <v>1744</v>
      </c>
      <c r="C158" t="s">
        <v>19</v>
      </c>
      <c r="D158" t="s">
        <v>1745</v>
      </c>
      <c r="E158" t="s">
        <v>252</v>
      </c>
      <c r="F158" t="s">
        <v>253</v>
      </c>
      <c r="G158" t="s">
        <v>1746</v>
      </c>
      <c r="H158" t="s">
        <v>38</v>
      </c>
      <c r="I158" t="s">
        <v>1747</v>
      </c>
      <c r="J158" t="s">
        <v>38</v>
      </c>
      <c r="K158" t="s">
        <v>1748</v>
      </c>
      <c r="L158">
        <v>2002</v>
      </c>
      <c r="M158" t="s">
        <v>1749</v>
      </c>
      <c r="N158" t="s">
        <v>19</v>
      </c>
      <c r="O158" t="s">
        <v>1750</v>
      </c>
      <c r="P158" t="s">
        <v>1751</v>
      </c>
      <c r="Q158" t="s">
        <v>1752</v>
      </c>
      <c r="R158" t="s">
        <v>1753</v>
      </c>
    </row>
    <row r="159" spans="1:18">
      <c r="A159" s="2" t="str">
        <f>HYPERLINK("https://investorlist.com/investor/international-finance-corporation-ifc?ref=Excel_ViewProfile","View Profile")</f>
        <v>View Profile</v>
      </c>
      <c r="B159" t="s">
        <v>1754</v>
      </c>
      <c r="C159" t="s">
        <v>19</v>
      </c>
      <c r="D159" t="s">
        <v>336</v>
      </c>
      <c r="E159" t="s">
        <v>337</v>
      </c>
      <c r="F159" t="s">
        <v>198</v>
      </c>
      <c r="G159" t="s">
        <v>338</v>
      </c>
      <c r="H159" t="s">
        <v>1755</v>
      </c>
      <c r="I159" t="s">
        <v>1756</v>
      </c>
      <c r="J159" t="s">
        <v>1757</v>
      </c>
      <c r="K159" t="s">
        <v>1758</v>
      </c>
      <c r="L159">
        <v>1956</v>
      </c>
      <c r="M159" t="s">
        <v>537</v>
      </c>
      <c r="N159" t="s">
        <v>119</v>
      </c>
      <c r="O159" t="s">
        <v>1759</v>
      </c>
      <c r="P159" t="s">
        <v>1760</v>
      </c>
      <c r="Q159" t="s">
        <v>1761</v>
      </c>
      <c r="R159" t="s">
        <v>1762</v>
      </c>
    </row>
    <row r="160" spans="1:18">
      <c r="A160" s="2" t="str">
        <f>HYPERLINK("https://investorlist.com/investor/high-output-ventures?ref=Excel_ViewProfile","View Profile")</f>
        <v>View Profile</v>
      </c>
      <c r="B160" t="s">
        <v>1763</v>
      </c>
      <c r="C160" t="s">
        <v>19</v>
      </c>
      <c r="D160" t="s">
        <v>1764</v>
      </c>
      <c r="E160" t="s">
        <v>607</v>
      </c>
      <c r="F160" t="s">
        <v>210</v>
      </c>
      <c r="G160" t="s">
        <v>1765</v>
      </c>
      <c r="H160" t="s">
        <v>1766</v>
      </c>
      <c r="I160" t="s">
        <v>1767</v>
      </c>
      <c r="J160" t="s">
        <v>38</v>
      </c>
      <c r="K160" t="s">
        <v>1768</v>
      </c>
      <c r="L160">
        <v>2017</v>
      </c>
      <c r="M160" t="s">
        <v>863</v>
      </c>
      <c r="N160" t="s">
        <v>19</v>
      </c>
      <c r="O160" t="s">
        <v>1769</v>
      </c>
      <c r="P160" t="s">
        <v>1770</v>
      </c>
      <c r="Q160" t="s">
        <v>1771</v>
      </c>
      <c r="R160" t="s">
        <v>1772</v>
      </c>
    </row>
    <row r="161" spans="1:18">
      <c r="A161" s="2" t="str">
        <f>HYPERLINK("https://investorlist.com/investor/bta-ventures?ref=Excel_ViewProfile","View Profile")</f>
        <v>View Profile</v>
      </c>
      <c r="B161" t="s">
        <v>1773</v>
      </c>
      <c r="C161" t="s">
        <v>19</v>
      </c>
      <c r="D161" t="s">
        <v>1774</v>
      </c>
      <c r="E161" t="s">
        <v>38</v>
      </c>
      <c r="F161" t="s">
        <v>1775</v>
      </c>
      <c r="G161" t="s">
        <v>1776</v>
      </c>
      <c r="H161" t="s">
        <v>1777</v>
      </c>
      <c r="I161" t="s">
        <v>1778</v>
      </c>
      <c r="J161" t="s">
        <v>38</v>
      </c>
      <c r="K161" t="s">
        <v>1779</v>
      </c>
      <c r="L161">
        <v>2021</v>
      </c>
      <c r="M161" t="s">
        <v>600</v>
      </c>
      <c r="N161" t="s">
        <v>487</v>
      </c>
      <c r="O161" t="s">
        <v>1780</v>
      </c>
      <c r="P161" t="s">
        <v>1781</v>
      </c>
      <c r="Q161" t="s">
        <v>1782</v>
      </c>
      <c r="R161" t="s">
        <v>1783</v>
      </c>
    </row>
    <row r="162" spans="1:18">
      <c r="A162" s="2" t="str">
        <f>HYPERLINK("https://investorlist.com/investor/adb-ventures?ref=Excel_ViewProfile","View Profile")</f>
        <v>View Profile</v>
      </c>
      <c r="B162" t="s">
        <v>1784</v>
      </c>
      <c r="C162" t="s">
        <v>530</v>
      </c>
      <c r="D162" t="s">
        <v>1785</v>
      </c>
      <c r="E162" t="s">
        <v>1786</v>
      </c>
      <c r="F162" t="s">
        <v>1787</v>
      </c>
      <c r="G162" t="s">
        <v>1788</v>
      </c>
      <c r="H162" t="s">
        <v>1789</v>
      </c>
      <c r="I162" t="s">
        <v>1790</v>
      </c>
      <c r="J162" t="s">
        <v>38</v>
      </c>
      <c r="K162" t="s">
        <v>1791</v>
      </c>
      <c r="L162">
        <v>2020</v>
      </c>
      <c r="M162" t="s">
        <v>1792</v>
      </c>
      <c r="N162" t="s">
        <v>19</v>
      </c>
      <c r="O162" t="s">
        <v>1793</v>
      </c>
      <c r="P162" t="s">
        <v>1794</v>
      </c>
      <c r="Q162" t="s">
        <v>1795</v>
      </c>
      <c r="R162" t="s">
        <v>1796</v>
      </c>
    </row>
    <row r="163" spans="1:18">
      <c r="A163" s="2" t="str">
        <f>HYPERLINK("https://investorlist.com/investor/iterative-vc?ref=Excel_ViewProfile","View Profile")</f>
        <v>View Profile</v>
      </c>
      <c r="B163" t="s">
        <v>1797</v>
      </c>
      <c r="C163" t="s">
        <v>19</v>
      </c>
      <c r="D163" t="s">
        <v>1798</v>
      </c>
      <c r="E163" t="s">
        <v>38</v>
      </c>
      <c r="F163" t="s">
        <v>210</v>
      </c>
      <c r="G163" t="s">
        <v>1799</v>
      </c>
      <c r="H163" t="s">
        <v>38</v>
      </c>
      <c r="I163" t="s">
        <v>1800</v>
      </c>
      <c r="J163" t="s">
        <v>38</v>
      </c>
      <c r="K163" t="s">
        <v>1801</v>
      </c>
      <c r="L163">
        <v>2020</v>
      </c>
      <c r="M163" t="s">
        <v>863</v>
      </c>
      <c r="N163" t="s">
        <v>19</v>
      </c>
      <c r="O163" t="s">
        <v>1802</v>
      </c>
      <c r="P163" t="s">
        <v>1803</v>
      </c>
      <c r="Q163" t="s">
        <v>1804</v>
      </c>
      <c r="R163" t="s">
        <v>1805</v>
      </c>
    </row>
    <row r="164" spans="1:18">
      <c r="A164" s="2" t="str">
        <f>HYPERLINK("https://investorlist.com/investor/jedar-capital?ref=Excel_ViewProfile","View Profile")</f>
        <v>View Profile</v>
      </c>
      <c r="B164" t="s">
        <v>1806</v>
      </c>
      <c r="C164" t="s">
        <v>19</v>
      </c>
      <c r="D164" t="s">
        <v>1807</v>
      </c>
      <c r="E164" t="s">
        <v>324</v>
      </c>
      <c r="F164" t="s">
        <v>198</v>
      </c>
      <c r="G164" t="s">
        <v>1808</v>
      </c>
      <c r="H164" t="s">
        <v>1809</v>
      </c>
      <c r="I164" t="s">
        <v>1810</v>
      </c>
      <c r="J164" t="s">
        <v>38</v>
      </c>
      <c r="K164" t="s">
        <v>1811</v>
      </c>
      <c r="L164">
        <v>2021</v>
      </c>
      <c r="M164" t="s">
        <v>1739</v>
      </c>
      <c r="N164" t="s">
        <v>19</v>
      </c>
      <c r="O164" t="s">
        <v>1812</v>
      </c>
      <c r="P164" t="s">
        <v>1813</v>
      </c>
      <c r="Q164" t="s">
        <v>1814</v>
      </c>
      <c r="R164" t="s">
        <v>1815</v>
      </c>
    </row>
    <row r="165" spans="1:18">
      <c r="A165" s="2" t="str">
        <f>HYPERLINK("https://investorlist.com/investor/mexc-global?ref=Excel_ViewProfile","View Profile")</f>
        <v>View Profile</v>
      </c>
      <c r="B165" t="s">
        <v>1816</v>
      </c>
      <c r="C165" t="s">
        <v>530</v>
      </c>
      <c r="D165" t="s">
        <v>1817</v>
      </c>
      <c r="E165" t="s">
        <v>38</v>
      </c>
      <c r="F165" t="s">
        <v>1818</v>
      </c>
      <c r="G165" t="s">
        <v>1819</v>
      </c>
      <c r="H165" t="s">
        <v>1820</v>
      </c>
      <c r="I165" t="s">
        <v>1821</v>
      </c>
      <c r="J165" t="s">
        <v>38</v>
      </c>
      <c r="K165" t="s">
        <v>1822</v>
      </c>
      <c r="L165">
        <v>2018</v>
      </c>
      <c r="M165" t="s">
        <v>64</v>
      </c>
      <c r="N165" t="s">
        <v>487</v>
      </c>
      <c r="O165" t="s">
        <v>1823</v>
      </c>
      <c r="P165" t="s">
        <v>1824</v>
      </c>
      <c r="Q165" t="s">
        <v>1825</v>
      </c>
      <c r="R165" t="s">
        <v>1826</v>
      </c>
    </row>
    <row r="166" spans="1:18">
      <c r="A166" s="2" t="str">
        <f>HYPERLINK("https://investorlist.com/investor/susquehanna-asia-venture-capital?ref=Excel_ViewProfile","View Profile")</f>
        <v>View Profile</v>
      </c>
      <c r="B166" t="s">
        <v>1827</v>
      </c>
      <c r="C166" t="s">
        <v>19</v>
      </c>
      <c r="D166" t="s">
        <v>1828</v>
      </c>
      <c r="E166" t="s">
        <v>38</v>
      </c>
      <c r="F166" t="s">
        <v>210</v>
      </c>
      <c r="G166" t="s">
        <v>1829</v>
      </c>
      <c r="H166" t="s">
        <v>38</v>
      </c>
      <c r="I166" t="s">
        <v>1830</v>
      </c>
      <c r="J166" t="s">
        <v>1831</v>
      </c>
      <c r="K166" t="s">
        <v>1832</v>
      </c>
      <c r="L166">
        <v>2005</v>
      </c>
      <c r="M166" t="s">
        <v>1833</v>
      </c>
      <c r="N166" t="s">
        <v>19</v>
      </c>
      <c r="O166" t="s">
        <v>1834</v>
      </c>
      <c r="P166" t="s">
        <v>1835</v>
      </c>
      <c r="Q166" t="s">
        <v>1836</v>
      </c>
      <c r="R166" t="s">
        <v>1837</v>
      </c>
    </row>
    <row r="167" spans="1:18">
      <c r="A167" s="2" t="str">
        <f>HYPERLINK("https://investorlist.com/investor/the-osiris-group?ref=Excel_ViewProfile","View Profile")</f>
        <v>View Profile</v>
      </c>
      <c r="B167" t="s">
        <v>1838</v>
      </c>
      <c r="C167" t="s">
        <v>181</v>
      </c>
      <c r="D167" t="s">
        <v>1839</v>
      </c>
      <c r="E167" t="s">
        <v>1136</v>
      </c>
      <c r="F167" t="s">
        <v>1137</v>
      </c>
      <c r="G167" t="s">
        <v>1840</v>
      </c>
      <c r="H167" t="s">
        <v>38</v>
      </c>
      <c r="I167" t="s">
        <v>1841</v>
      </c>
      <c r="J167" t="s">
        <v>1842</v>
      </c>
      <c r="K167" t="s">
        <v>1843</v>
      </c>
      <c r="L167">
        <v>2013</v>
      </c>
      <c r="M167" t="s">
        <v>1302</v>
      </c>
      <c r="N167" t="s">
        <v>217</v>
      </c>
      <c r="O167" t="s">
        <v>1844</v>
      </c>
      <c r="P167" t="s">
        <v>1845</v>
      </c>
      <c r="Q167" t="s">
        <v>1846</v>
      </c>
      <c r="R167" t="s">
        <v>1847</v>
      </c>
    </row>
    <row r="168" spans="1:18">
      <c r="A168" s="2" t="str">
        <f>HYPERLINK("https://investorlist.com/investor/sai-venture-capital?ref=Excel_ViewProfile","View Profile")</f>
        <v>View Profile</v>
      </c>
      <c r="B168" t="s">
        <v>1848</v>
      </c>
      <c r="C168" t="s">
        <v>19</v>
      </c>
      <c r="D168" t="s">
        <v>1849</v>
      </c>
      <c r="E168" t="s">
        <v>805</v>
      </c>
      <c r="F168" t="s">
        <v>806</v>
      </c>
      <c r="G168" t="s">
        <v>1850</v>
      </c>
      <c r="H168" t="s">
        <v>38</v>
      </c>
      <c r="I168" t="s">
        <v>1851</v>
      </c>
      <c r="J168" t="s">
        <v>38</v>
      </c>
      <c r="K168" t="s">
        <v>1852</v>
      </c>
      <c r="L168">
        <v>2022</v>
      </c>
      <c r="M168" t="s">
        <v>64</v>
      </c>
      <c r="N168" t="s">
        <v>19</v>
      </c>
      <c r="O168" t="s">
        <v>1853</v>
      </c>
      <c r="P168" t="s">
        <v>812</v>
      </c>
      <c r="Q168" t="s">
        <v>1854</v>
      </c>
      <c r="R168" t="s">
        <v>1855</v>
      </c>
    </row>
    <row r="169" spans="1:18">
      <c r="A169" s="2" t="str">
        <f>HYPERLINK("https://investorlist.com/investor/firstlight-capital?ref=Excel_ViewProfile","View Profile")</f>
        <v>View Profile</v>
      </c>
      <c r="B169" t="s">
        <v>1856</v>
      </c>
      <c r="C169" t="s">
        <v>19</v>
      </c>
      <c r="D169" t="s">
        <v>1857</v>
      </c>
      <c r="E169" t="s">
        <v>783</v>
      </c>
      <c r="F169" t="s">
        <v>784</v>
      </c>
      <c r="G169" t="s">
        <v>1858</v>
      </c>
      <c r="H169" t="s">
        <v>38</v>
      </c>
      <c r="I169" t="s">
        <v>1859</v>
      </c>
      <c r="J169" t="s">
        <v>1860</v>
      </c>
      <c r="K169" t="s">
        <v>1861</v>
      </c>
      <c r="L169">
        <v>2018</v>
      </c>
      <c r="M169" t="s">
        <v>1862</v>
      </c>
      <c r="N169" t="s">
        <v>19</v>
      </c>
      <c r="O169" t="s">
        <v>1863</v>
      </c>
      <c r="P169" t="s">
        <v>1864</v>
      </c>
      <c r="Q169" t="s">
        <v>1865</v>
      </c>
      <c r="R169" t="s">
        <v>38</v>
      </c>
    </row>
    <row r="170" spans="1:18">
      <c r="A170" s="2" t="str">
        <f>HYPERLINK("https://investorlist.com/investor/sarmayacar-ventures?ref=Excel_ViewProfile","View Profile")</f>
        <v>View Profile</v>
      </c>
      <c r="B170" t="s">
        <v>1866</v>
      </c>
      <c r="C170" t="s">
        <v>19</v>
      </c>
      <c r="D170" t="s">
        <v>804</v>
      </c>
      <c r="E170" t="s">
        <v>805</v>
      </c>
      <c r="F170" t="s">
        <v>806</v>
      </c>
      <c r="G170" t="s">
        <v>1867</v>
      </c>
      <c r="H170" t="s">
        <v>38</v>
      </c>
      <c r="I170" t="s">
        <v>808</v>
      </c>
      <c r="J170" t="s">
        <v>1868</v>
      </c>
      <c r="K170" t="s">
        <v>1869</v>
      </c>
      <c r="L170">
        <v>2018</v>
      </c>
      <c r="M170" t="s">
        <v>1571</v>
      </c>
      <c r="N170" t="s">
        <v>19</v>
      </c>
      <c r="O170" t="s">
        <v>1870</v>
      </c>
      <c r="P170" t="s">
        <v>812</v>
      </c>
      <c r="Q170" t="s">
        <v>1871</v>
      </c>
      <c r="R170" t="s">
        <v>1872</v>
      </c>
    </row>
    <row r="171" spans="1:18">
      <c r="A171" s="2" t="str">
        <f>HYPERLINK("https://investorlist.com/investor/1982-ventures?ref=Excel_ViewProfile","View Profile")</f>
        <v>View Profile</v>
      </c>
      <c r="B171" t="s">
        <v>1873</v>
      </c>
      <c r="C171" t="s">
        <v>19</v>
      </c>
      <c r="D171" t="s">
        <v>1874</v>
      </c>
      <c r="E171" t="s">
        <v>606</v>
      </c>
      <c r="F171" t="s">
        <v>210</v>
      </c>
      <c r="G171" t="s">
        <v>1875</v>
      </c>
      <c r="H171" t="s">
        <v>1876</v>
      </c>
      <c r="I171" t="s">
        <v>1877</v>
      </c>
      <c r="J171" t="s">
        <v>38</v>
      </c>
      <c r="K171" t="s">
        <v>1878</v>
      </c>
      <c r="L171">
        <v>2019</v>
      </c>
      <c r="M171" t="s">
        <v>863</v>
      </c>
      <c r="N171" t="s">
        <v>19</v>
      </c>
      <c r="O171" t="s">
        <v>1879</v>
      </c>
      <c r="P171" t="s">
        <v>1880</v>
      </c>
      <c r="Q171" t="s">
        <v>1881</v>
      </c>
      <c r="R171" t="s">
        <v>1882</v>
      </c>
    </row>
    <row r="172" spans="1:18">
      <c r="A172" s="2" t="str">
        <f>HYPERLINK("https://investorlist.com/investor/sparkland-capital?ref=Excel_ViewProfile","View Profile")</f>
        <v>View Profile</v>
      </c>
      <c r="B172" t="s">
        <v>1883</v>
      </c>
      <c r="C172" t="s">
        <v>19</v>
      </c>
      <c r="D172" t="s">
        <v>1884</v>
      </c>
      <c r="E172" t="s">
        <v>312</v>
      </c>
      <c r="F172" t="s">
        <v>198</v>
      </c>
      <c r="G172" t="s">
        <v>1885</v>
      </c>
      <c r="H172" t="s">
        <v>38</v>
      </c>
      <c r="I172" t="s">
        <v>1886</v>
      </c>
      <c r="J172" t="s">
        <v>38</v>
      </c>
      <c r="K172" t="s">
        <v>1887</v>
      </c>
      <c r="L172">
        <v>2014</v>
      </c>
      <c r="M172" t="s">
        <v>64</v>
      </c>
      <c r="N172" t="s">
        <v>19</v>
      </c>
      <c r="O172" t="s">
        <v>1888</v>
      </c>
      <c r="P172" t="s">
        <v>1889</v>
      </c>
      <c r="Q172" t="s">
        <v>1890</v>
      </c>
      <c r="R172" t="s">
        <v>1891</v>
      </c>
    </row>
    <row r="173" spans="1:18">
      <c r="A173" s="2" t="str">
        <f>HYPERLINK("https://investorlist.com/investor/heliconia-capital-management?ref=Excel_ViewProfile","View Profile")</f>
        <v>View Profile</v>
      </c>
      <c r="B173" t="s">
        <v>1892</v>
      </c>
      <c r="C173" t="s">
        <v>181</v>
      </c>
      <c r="D173" t="s">
        <v>1893</v>
      </c>
      <c r="E173" t="s">
        <v>38</v>
      </c>
      <c r="F173" t="s">
        <v>210</v>
      </c>
      <c r="G173" t="s">
        <v>1894</v>
      </c>
      <c r="H173" t="s">
        <v>38</v>
      </c>
      <c r="I173" t="s">
        <v>1895</v>
      </c>
      <c r="J173" t="s">
        <v>1896</v>
      </c>
      <c r="K173" t="s">
        <v>1897</v>
      </c>
      <c r="L173">
        <v>2010</v>
      </c>
      <c r="M173" t="s">
        <v>1302</v>
      </c>
      <c r="N173" t="s">
        <v>217</v>
      </c>
      <c r="O173" t="s">
        <v>1898</v>
      </c>
      <c r="P173" t="s">
        <v>1899</v>
      </c>
      <c r="Q173" t="s">
        <v>1900</v>
      </c>
      <c r="R173" t="s">
        <v>1901</v>
      </c>
    </row>
    <row r="174" spans="1:18">
      <c r="A174" s="2" t="str">
        <f>HYPERLINK("https://investorlist.com/investor/hibiscus-fund?ref=Excel_ViewProfile","View Profile")</f>
        <v>View Profile</v>
      </c>
      <c r="B174" t="s">
        <v>1902</v>
      </c>
      <c r="C174" t="s">
        <v>530</v>
      </c>
      <c r="D174" t="s">
        <v>1903</v>
      </c>
      <c r="E174" t="s">
        <v>38</v>
      </c>
      <c r="F174" t="s">
        <v>253</v>
      </c>
      <c r="G174" t="s">
        <v>1904</v>
      </c>
      <c r="H174" t="s">
        <v>1905</v>
      </c>
      <c r="I174" t="s">
        <v>1906</v>
      </c>
      <c r="J174" t="s">
        <v>1907</v>
      </c>
      <c r="K174" t="s">
        <v>1908</v>
      </c>
      <c r="L174">
        <v>2016</v>
      </c>
      <c r="M174" t="s">
        <v>600</v>
      </c>
      <c r="N174" t="s">
        <v>19</v>
      </c>
      <c r="O174" t="s">
        <v>177</v>
      </c>
      <c r="P174" t="s">
        <v>723</v>
      </c>
      <c r="Q174" t="s">
        <v>1909</v>
      </c>
      <c r="R174" t="s">
        <v>1910</v>
      </c>
    </row>
    <row r="175" spans="1:18">
      <c r="A175" s="2" t="str">
        <f>HYPERLINK("https://investorlist.com/investor/insitor-partners?ref=Excel_ViewProfile","View Profile")</f>
        <v>View Profile</v>
      </c>
      <c r="B175" t="s">
        <v>1911</v>
      </c>
      <c r="C175" t="s">
        <v>19</v>
      </c>
      <c r="D175" t="s">
        <v>1912</v>
      </c>
      <c r="E175" t="s">
        <v>38</v>
      </c>
      <c r="F175" t="s">
        <v>210</v>
      </c>
      <c r="G175" t="s">
        <v>1913</v>
      </c>
      <c r="H175" t="s">
        <v>1914</v>
      </c>
      <c r="I175" t="s">
        <v>1915</v>
      </c>
      <c r="J175" t="s">
        <v>1916</v>
      </c>
      <c r="K175" t="s">
        <v>1917</v>
      </c>
      <c r="L175">
        <v>2009</v>
      </c>
      <c r="M175" t="s">
        <v>1719</v>
      </c>
      <c r="N175" t="s">
        <v>19</v>
      </c>
      <c r="O175" t="s">
        <v>1918</v>
      </c>
      <c r="P175" t="s">
        <v>1919</v>
      </c>
      <c r="Q175" t="s">
        <v>1920</v>
      </c>
      <c r="R175" t="s">
        <v>1921</v>
      </c>
    </row>
    <row r="176" spans="1:18">
      <c r="A176" s="2" t="str">
        <f>HYPERLINK("https://investorlist.com/investor/accrete-capital-partners-pte-ltd?ref=Excel_ViewProfile","View Profile")</f>
        <v>View Profile</v>
      </c>
      <c r="B176" t="s">
        <v>1922</v>
      </c>
      <c r="C176" t="s">
        <v>181</v>
      </c>
      <c r="D176" t="s">
        <v>1923</v>
      </c>
      <c r="E176" t="s">
        <v>38</v>
      </c>
      <c r="F176" t="s">
        <v>210</v>
      </c>
      <c r="G176" t="s">
        <v>1924</v>
      </c>
      <c r="H176" t="s">
        <v>38</v>
      </c>
      <c r="I176" t="s">
        <v>1925</v>
      </c>
      <c r="J176" t="s">
        <v>1926</v>
      </c>
      <c r="K176" t="s">
        <v>1927</v>
      </c>
      <c r="L176">
        <v>2022</v>
      </c>
      <c r="M176" t="s">
        <v>1302</v>
      </c>
      <c r="N176" t="s">
        <v>181</v>
      </c>
      <c r="O176" t="s">
        <v>177</v>
      </c>
      <c r="P176" t="s">
        <v>1634</v>
      </c>
      <c r="Q176" t="s">
        <v>1928</v>
      </c>
      <c r="R176" t="s">
        <v>38</v>
      </c>
    </row>
    <row r="177" spans="1:18">
      <c r="A177" s="2" t="str">
        <f>HYPERLINK("https://investorlist.com/investor/antares-ventures?ref=Excel_ViewProfile","View Profile")</f>
        <v>View Profile</v>
      </c>
      <c r="B177" t="s">
        <v>1929</v>
      </c>
      <c r="C177" t="s">
        <v>19</v>
      </c>
      <c r="D177" t="s">
        <v>1930</v>
      </c>
      <c r="E177" t="s">
        <v>38</v>
      </c>
      <c r="F177" t="s">
        <v>210</v>
      </c>
      <c r="G177" t="s">
        <v>1931</v>
      </c>
      <c r="H177" t="s">
        <v>38</v>
      </c>
      <c r="I177" t="s">
        <v>1932</v>
      </c>
      <c r="J177" t="s">
        <v>38</v>
      </c>
      <c r="K177" t="s">
        <v>1933</v>
      </c>
      <c r="L177">
        <v>2019</v>
      </c>
      <c r="M177" t="s">
        <v>600</v>
      </c>
      <c r="N177" t="s">
        <v>19</v>
      </c>
      <c r="O177" t="s">
        <v>1934</v>
      </c>
      <c r="P177" t="s">
        <v>1552</v>
      </c>
      <c r="Q177" t="s">
        <v>1935</v>
      </c>
      <c r="R177" t="s">
        <v>1936</v>
      </c>
    </row>
    <row r="178" spans="1:18">
      <c r="A178" s="2" t="str">
        <f>HYPERLINK("https://investorlist.com/investor/venturra-capital?ref=Excel_ViewProfile","View Profile")</f>
        <v>View Profile</v>
      </c>
      <c r="B178" t="s">
        <v>1937</v>
      </c>
      <c r="C178" t="s">
        <v>19</v>
      </c>
      <c r="D178" t="s">
        <v>1938</v>
      </c>
      <c r="E178" t="s">
        <v>1939</v>
      </c>
      <c r="F178" t="s">
        <v>718</v>
      </c>
      <c r="G178" t="s">
        <v>1940</v>
      </c>
      <c r="H178" t="s">
        <v>1941</v>
      </c>
      <c r="I178" t="s">
        <v>1942</v>
      </c>
      <c r="J178" t="s">
        <v>38</v>
      </c>
      <c r="K178" t="s">
        <v>1943</v>
      </c>
      <c r="L178">
        <v>2015</v>
      </c>
      <c r="M178" t="s">
        <v>87</v>
      </c>
      <c r="N178" t="s">
        <v>19</v>
      </c>
      <c r="O178" t="s">
        <v>1944</v>
      </c>
      <c r="P178" t="s">
        <v>1552</v>
      </c>
      <c r="Q178" t="s">
        <v>1945</v>
      </c>
      <c r="R178" t="s">
        <v>1946</v>
      </c>
    </row>
    <row r="179" spans="1:18">
      <c r="A179" s="2" t="str">
        <f>HYPERLINK("https://investorlist.com/investor/felicity-global-capital-pte-ltd?ref=Excel_ViewProfile","View Profile")</f>
        <v>View Profile</v>
      </c>
      <c r="B179" t="s">
        <v>1947</v>
      </c>
      <c r="C179" t="s">
        <v>181</v>
      </c>
      <c r="D179" t="s">
        <v>1948</v>
      </c>
      <c r="E179" t="s">
        <v>38</v>
      </c>
      <c r="F179" t="s">
        <v>210</v>
      </c>
      <c r="G179" t="s">
        <v>1949</v>
      </c>
      <c r="H179" t="s">
        <v>38</v>
      </c>
      <c r="I179" t="s">
        <v>1950</v>
      </c>
      <c r="J179" t="s">
        <v>1951</v>
      </c>
      <c r="K179" t="s">
        <v>1952</v>
      </c>
      <c r="L179">
        <v>2008</v>
      </c>
      <c r="M179" t="s">
        <v>229</v>
      </c>
      <c r="N179" t="s">
        <v>217</v>
      </c>
      <c r="O179" t="s">
        <v>1953</v>
      </c>
      <c r="P179" t="s">
        <v>1954</v>
      </c>
      <c r="Q179" t="s">
        <v>1955</v>
      </c>
      <c r="R179" t="s">
        <v>1956</v>
      </c>
    </row>
    <row r="180" spans="1:18">
      <c r="A180" s="2" t="str">
        <f>HYPERLINK("https://investorlist.com/investor/smile-group?ref=Excel_ViewProfile","View Profile")</f>
        <v>View Profile</v>
      </c>
      <c r="B180" t="s">
        <v>1957</v>
      </c>
      <c r="C180" t="s">
        <v>19</v>
      </c>
      <c r="D180" t="s">
        <v>1958</v>
      </c>
      <c r="E180" t="s">
        <v>38</v>
      </c>
      <c r="F180" t="s">
        <v>210</v>
      </c>
      <c r="G180" t="s">
        <v>1959</v>
      </c>
      <c r="H180" t="s">
        <v>38</v>
      </c>
      <c r="I180" t="s">
        <v>38</v>
      </c>
      <c r="J180" t="s">
        <v>38</v>
      </c>
      <c r="K180" t="s">
        <v>1960</v>
      </c>
      <c r="L180">
        <v>2002</v>
      </c>
      <c r="M180" t="s">
        <v>118</v>
      </c>
      <c r="N180" t="s">
        <v>19</v>
      </c>
      <c r="O180" t="s">
        <v>1961</v>
      </c>
      <c r="P180" t="s">
        <v>1634</v>
      </c>
      <c r="Q180" t="s">
        <v>1962</v>
      </c>
      <c r="R180" t="s">
        <v>1963</v>
      </c>
    </row>
    <row r="181" spans="1:18">
      <c r="A181" s="2" t="str">
        <f>HYPERLINK("https://investorlist.com/investor/gray-ghost-ventures?ref=Excel_ViewProfile","View Profile")</f>
        <v>View Profile</v>
      </c>
      <c r="B181" t="s">
        <v>1964</v>
      </c>
      <c r="C181" t="s">
        <v>19</v>
      </c>
      <c r="D181" t="s">
        <v>1965</v>
      </c>
      <c r="E181" t="s">
        <v>1966</v>
      </c>
      <c r="F181" t="s">
        <v>198</v>
      </c>
      <c r="G181" t="s">
        <v>1967</v>
      </c>
      <c r="H181" t="s">
        <v>1968</v>
      </c>
      <c r="I181" t="s">
        <v>1969</v>
      </c>
      <c r="J181" t="s">
        <v>1970</v>
      </c>
      <c r="K181" t="s">
        <v>1971</v>
      </c>
      <c r="L181">
        <v>2003</v>
      </c>
      <c r="M181" t="s">
        <v>737</v>
      </c>
      <c r="N181" t="s">
        <v>1972</v>
      </c>
      <c r="O181" t="s">
        <v>1973</v>
      </c>
      <c r="P181" t="s">
        <v>1974</v>
      </c>
      <c r="Q181" t="s">
        <v>1975</v>
      </c>
      <c r="R181" t="s">
        <v>1976</v>
      </c>
    </row>
    <row r="182" spans="1:18">
      <c r="A182" s="2" t="str">
        <f>HYPERLINK("https://investorlist.com/investor/shorooq-investments?ref=Excel_ViewProfile","View Profile")</f>
        <v>View Profile</v>
      </c>
      <c r="B182" t="s">
        <v>1977</v>
      </c>
      <c r="C182" t="s">
        <v>19</v>
      </c>
      <c r="D182" t="s">
        <v>20</v>
      </c>
      <c r="E182" t="s">
        <v>21</v>
      </c>
      <c r="F182" t="s">
        <v>22</v>
      </c>
      <c r="G182" t="s">
        <v>1978</v>
      </c>
      <c r="H182" t="s">
        <v>1979</v>
      </c>
      <c r="I182" t="s">
        <v>1980</v>
      </c>
      <c r="J182" t="s">
        <v>1981</v>
      </c>
      <c r="K182" t="s">
        <v>1982</v>
      </c>
      <c r="L182">
        <v>2017</v>
      </c>
      <c r="M182" t="s">
        <v>1983</v>
      </c>
      <c r="N182" t="s">
        <v>1708</v>
      </c>
      <c r="O182" t="s">
        <v>1984</v>
      </c>
      <c r="P182" t="s">
        <v>1985</v>
      </c>
      <c r="Q182" t="s">
        <v>1986</v>
      </c>
      <c r="R182" t="s">
        <v>1987</v>
      </c>
    </row>
    <row r="183" spans="1:18">
      <c r="A183" s="2" t="str">
        <f>HYPERLINK("https://investorlist.com/investor/footpath-ventures?ref=Excel_ViewProfile","View Profile")</f>
        <v>View Profile</v>
      </c>
      <c r="B183" t="s">
        <v>1988</v>
      </c>
      <c r="C183" t="s">
        <v>19</v>
      </c>
      <c r="D183" t="s">
        <v>1989</v>
      </c>
      <c r="E183" t="s">
        <v>324</v>
      </c>
      <c r="F183" t="s">
        <v>198</v>
      </c>
      <c r="G183" t="s">
        <v>38</v>
      </c>
      <c r="H183" t="s">
        <v>38</v>
      </c>
      <c r="I183" t="s">
        <v>38</v>
      </c>
      <c r="J183" t="s">
        <v>38</v>
      </c>
      <c r="K183" t="s">
        <v>1990</v>
      </c>
      <c r="L183">
        <v>2019</v>
      </c>
      <c r="M183" t="s">
        <v>1991</v>
      </c>
      <c r="N183" t="s">
        <v>19</v>
      </c>
      <c r="O183" t="s">
        <v>1992</v>
      </c>
      <c r="P183" t="s">
        <v>1993</v>
      </c>
      <c r="Q183" t="s">
        <v>1994</v>
      </c>
      <c r="R183" t="s">
        <v>1995</v>
      </c>
    </row>
    <row r="184" spans="1:18">
      <c r="A184" s="2" t="str">
        <f>HYPERLINK("https://investorlist.com/investor/sparx-group-co-ltd?ref=Excel_ViewProfile","View Profile")</f>
        <v>View Profile</v>
      </c>
      <c r="B184" t="s">
        <v>1996</v>
      </c>
      <c r="C184" t="s">
        <v>181</v>
      </c>
      <c r="D184" t="s">
        <v>1997</v>
      </c>
      <c r="E184" t="s">
        <v>783</v>
      </c>
      <c r="F184" t="s">
        <v>784</v>
      </c>
      <c r="G184" t="s">
        <v>1998</v>
      </c>
      <c r="H184" t="s">
        <v>38</v>
      </c>
      <c r="I184" t="s">
        <v>38</v>
      </c>
      <c r="J184" t="s">
        <v>1999</v>
      </c>
      <c r="K184" t="s">
        <v>2000</v>
      </c>
      <c r="L184">
        <v>1989</v>
      </c>
      <c r="M184" t="s">
        <v>155</v>
      </c>
      <c r="N184" t="s">
        <v>2001</v>
      </c>
      <c r="O184" t="s">
        <v>2002</v>
      </c>
      <c r="P184" t="s">
        <v>1889</v>
      </c>
      <c r="Q184" t="s">
        <v>2003</v>
      </c>
      <c r="R184" t="s">
        <v>2004</v>
      </c>
    </row>
    <row r="185" spans="1:18">
      <c r="A185" s="2" t="str">
        <f>HYPERLINK("https://investorlist.com/investor/tanarra-capital?ref=Excel_ViewProfile","View Profile")</f>
        <v>View Profile</v>
      </c>
      <c r="B185" t="s">
        <v>2005</v>
      </c>
      <c r="C185" t="s">
        <v>136</v>
      </c>
      <c r="D185" t="s">
        <v>2006</v>
      </c>
      <c r="E185" t="s">
        <v>2007</v>
      </c>
      <c r="F185" t="s">
        <v>2008</v>
      </c>
      <c r="G185" t="s">
        <v>2009</v>
      </c>
      <c r="H185" t="s">
        <v>2010</v>
      </c>
      <c r="I185" t="s">
        <v>2011</v>
      </c>
      <c r="J185" t="s">
        <v>2012</v>
      </c>
      <c r="K185" t="s">
        <v>2013</v>
      </c>
      <c r="L185" t="s">
        <v>38</v>
      </c>
      <c r="M185" t="s">
        <v>2014</v>
      </c>
      <c r="N185" t="s">
        <v>2015</v>
      </c>
      <c r="O185" t="s">
        <v>2016</v>
      </c>
      <c r="P185" t="s">
        <v>2017</v>
      </c>
      <c r="Q185" t="s">
        <v>38</v>
      </c>
      <c r="R185" t="s">
        <v>38</v>
      </c>
    </row>
    <row r="186" spans="1:18">
      <c r="A186" s="2" t="str">
        <f>HYPERLINK("https://investorlist.com/investor/avataar-venture-partners?ref=Excel_ViewProfile","View Profile")</f>
        <v>View Profile</v>
      </c>
      <c r="B186" t="s">
        <v>2018</v>
      </c>
      <c r="C186" t="s">
        <v>19</v>
      </c>
      <c r="D186" t="s">
        <v>2019</v>
      </c>
      <c r="E186" t="s">
        <v>2020</v>
      </c>
      <c r="F186" t="s">
        <v>572</v>
      </c>
      <c r="G186" t="s">
        <v>2021</v>
      </c>
      <c r="H186" t="s">
        <v>2022</v>
      </c>
      <c r="I186" t="s">
        <v>2023</v>
      </c>
      <c r="J186" t="s">
        <v>38</v>
      </c>
      <c r="K186" t="s">
        <v>2024</v>
      </c>
      <c r="L186">
        <v>2019</v>
      </c>
      <c r="M186" t="s">
        <v>2025</v>
      </c>
      <c r="N186" t="s">
        <v>19</v>
      </c>
      <c r="O186" t="s">
        <v>2026</v>
      </c>
      <c r="P186" t="s">
        <v>1552</v>
      </c>
      <c r="Q186" t="s">
        <v>2027</v>
      </c>
      <c r="R186" t="s">
        <v>2028</v>
      </c>
    </row>
    <row r="187" spans="1:18">
      <c r="A187" s="2" t="str">
        <f>HYPERLINK("https://investorlist.com/investor/neoteny-labs?ref=Excel_ViewProfile","View Profile")</f>
        <v>View Profile</v>
      </c>
      <c r="B187" t="s">
        <v>2029</v>
      </c>
      <c r="C187" t="s">
        <v>19</v>
      </c>
      <c r="D187" t="s">
        <v>606</v>
      </c>
      <c r="E187" t="s">
        <v>38</v>
      </c>
      <c r="F187" t="s">
        <v>210</v>
      </c>
      <c r="G187" t="s">
        <v>2030</v>
      </c>
      <c r="H187" t="s">
        <v>38</v>
      </c>
      <c r="I187" t="s">
        <v>2031</v>
      </c>
      <c r="J187" t="s">
        <v>38</v>
      </c>
      <c r="K187" t="s">
        <v>2032</v>
      </c>
      <c r="L187">
        <v>2009</v>
      </c>
      <c r="M187" t="s">
        <v>64</v>
      </c>
      <c r="N187" t="s">
        <v>19</v>
      </c>
      <c r="O187" t="s">
        <v>2033</v>
      </c>
      <c r="P187" t="s">
        <v>1552</v>
      </c>
      <c r="Q187" t="s">
        <v>2034</v>
      </c>
      <c r="R187" t="s">
        <v>2035</v>
      </c>
    </row>
    <row r="188" spans="1:18">
      <c r="A188" s="2" t="str">
        <f>HYPERLINK("https://investorlist.com/investor/pair-investment-company-limited?ref=Excel_ViewProfile","View Profile")</f>
        <v>View Profile</v>
      </c>
      <c r="B188" t="s">
        <v>2036</v>
      </c>
      <c r="C188" t="s">
        <v>136</v>
      </c>
      <c r="D188" t="s">
        <v>2037</v>
      </c>
      <c r="E188" t="s">
        <v>846</v>
      </c>
      <c r="F188" t="s">
        <v>806</v>
      </c>
      <c r="G188" t="s">
        <v>2038</v>
      </c>
      <c r="H188" t="s">
        <v>38</v>
      </c>
      <c r="I188" t="s">
        <v>2039</v>
      </c>
      <c r="J188" t="s">
        <v>2040</v>
      </c>
      <c r="K188" t="s">
        <v>2041</v>
      </c>
      <c r="L188">
        <v>2007</v>
      </c>
      <c r="M188" t="s">
        <v>1302</v>
      </c>
      <c r="N188" t="s">
        <v>217</v>
      </c>
      <c r="O188" t="s">
        <v>777</v>
      </c>
      <c r="P188" t="s">
        <v>2042</v>
      </c>
      <c r="Q188" t="s">
        <v>2043</v>
      </c>
      <c r="R188" t="s">
        <v>2044</v>
      </c>
    </row>
    <row r="189" spans="1:18">
      <c r="A189" s="2" t="str">
        <f>HYPERLINK("https://investorlist.com/investor/ifc-venture-capital-group?ref=Excel_ViewProfile","View Profile")</f>
        <v>View Profile</v>
      </c>
      <c r="B189" t="s">
        <v>2045</v>
      </c>
      <c r="C189" t="s">
        <v>19</v>
      </c>
      <c r="D189" t="s">
        <v>2046</v>
      </c>
      <c r="E189" t="s">
        <v>337</v>
      </c>
      <c r="F189" t="s">
        <v>198</v>
      </c>
      <c r="G189" t="s">
        <v>338</v>
      </c>
      <c r="H189" t="s">
        <v>1755</v>
      </c>
      <c r="I189" t="s">
        <v>1756</v>
      </c>
      <c r="J189" t="s">
        <v>1757</v>
      </c>
      <c r="K189" t="s">
        <v>2047</v>
      </c>
      <c r="L189" t="s">
        <v>38</v>
      </c>
      <c r="M189" t="s">
        <v>64</v>
      </c>
      <c r="N189" t="s">
        <v>19</v>
      </c>
      <c r="O189" t="s">
        <v>1759</v>
      </c>
      <c r="P189" t="s">
        <v>2048</v>
      </c>
      <c r="Q189" t="s">
        <v>38</v>
      </c>
      <c r="R189" t="s">
        <v>38</v>
      </c>
    </row>
    <row r="190" spans="1:18">
      <c r="A190" s="2" t="str">
        <f>HYPERLINK("https://investorlist.com/investor/transpac-capital?ref=Excel_ViewProfile","View Profile")</f>
        <v>View Profile</v>
      </c>
      <c r="B190" t="s">
        <v>2049</v>
      </c>
      <c r="C190" t="s">
        <v>181</v>
      </c>
      <c r="D190" t="s">
        <v>2050</v>
      </c>
      <c r="E190" t="s">
        <v>606</v>
      </c>
      <c r="F190" t="s">
        <v>210</v>
      </c>
      <c r="G190" t="s">
        <v>2051</v>
      </c>
      <c r="H190" t="s">
        <v>38</v>
      </c>
      <c r="I190" t="s">
        <v>2052</v>
      </c>
      <c r="J190" t="s">
        <v>2053</v>
      </c>
      <c r="K190" t="s">
        <v>2054</v>
      </c>
      <c r="L190" t="s">
        <v>38</v>
      </c>
      <c r="M190" t="s">
        <v>537</v>
      </c>
      <c r="N190" t="s">
        <v>217</v>
      </c>
      <c r="O190" t="s">
        <v>2055</v>
      </c>
      <c r="P190" t="s">
        <v>2056</v>
      </c>
      <c r="Q190" t="s">
        <v>38</v>
      </c>
      <c r="R190" t="s">
        <v>38</v>
      </c>
    </row>
    <row r="191" spans="1:18">
      <c r="A191" s="2" t="str">
        <f>HYPERLINK("https://investorlist.com/investor/dymon-asia-ventures?ref=Excel_ViewProfile","View Profile")</f>
        <v>View Profile</v>
      </c>
      <c r="B191" t="s">
        <v>2057</v>
      </c>
      <c r="C191" t="s">
        <v>19</v>
      </c>
      <c r="D191" t="s">
        <v>2058</v>
      </c>
      <c r="E191" t="s">
        <v>38</v>
      </c>
      <c r="F191" t="s">
        <v>210</v>
      </c>
      <c r="G191" t="s">
        <v>2059</v>
      </c>
      <c r="H191" t="s">
        <v>2060</v>
      </c>
      <c r="I191" t="s">
        <v>2061</v>
      </c>
      <c r="J191" t="s">
        <v>2062</v>
      </c>
      <c r="K191" t="s">
        <v>2063</v>
      </c>
      <c r="L191">
        <v>2015</v>
      </c>
      <c r="M191" t="s">
        <v>440</v>
      </c>
      <c r="N191" t="s">
        <v>19</v>
      </c>
      <c r="O191" t="s">
        <v>177</v>
      </c>
      <c r="P191" t="s">
        <v>1899</v>
      </c>
      <c r="Q191" t="s">
        <v>2064</v>
      </c>
      <c r="R191" t="s">
        <v>2065</v>
      </c>
    </row>
    <row r="192" spans="1:18">
      <c r="A192" s="2" t="str">
        <f>HYPERLINK("https://investorlist.com/investor/fenghe-asia?ref=Excel_ViewProfile","View Profile")</f>
        <v>View Profile</v>
      </c>
      <c r="B192" t="s">
        <v>2066</v>
      </c>
      <c r="C192" t="s">
        <v>19</v>
      </c>
      <c r="D192" t="s">
        <v>2067</v>
      </c>
      <c r="E192" t="s">
        <v>606</v>
      </c>
      <c r="F192" t="s">
        <v>210</v>
      </c>
      <c r="G192" t="s">
        <v>2068</v>
      </c>
      <c r="H192" t="s">
        <v>38</v>
      </c>
      <c r="I192" t="s">
        <v>2069</v>
      </c>
      <c r="J192" t="s">
        <v>2070</v>
      </c>
      <c r="K192" t="s">
        <v>2071</v>
      </c>
      <c r="L192">
        <v>2009</v>
      </c>
      <c r="M192" t="s">
        <v>118</v>
      </c>
      <c r="N192" t="s">
        <v>19</v>
      </c>
      <c r="O192" t="s">
        <v>2072</v>
      </c>
      <c r="P192" t="s">
        <v>644</v>
      </c>
      <c r="Q192" t="s">
        <v>2073</v>
      </c>
      <c r="R192" t="s">
        <v>2074</v>
      </c>
    </row>
    <row r="193" spans="1:18">
      <c r="A193" s="2" t="str">
        <f>HYPERLINK("https://investorlist.com/investor/pacific-channel?ref=Excel_ViewProfile","View Profile")</f>
        <v>View Profile</v>
      </c>
      <c r="B193" t="s">
        <v>2075</v>
      </c>
      <c r="C193" t="s">
        <v>19</v>
      </c>
      <c r="D193" t="s">
        <v>2076</v>
      </c>
      <c r="E193" t="s">
        <v>2077</v>
      </c>
      <c r="F193" t="s">
        <v>2078</v>
      </c>
      <c r="G193" t="s">
        <v>2079</v>
      </c>
      <c r="H193" t="s">
        <v>38</v>
      </c>
      <c r="I193" t="s">
        <v>2080</v>
      </c>
      <c r="J193" t="s">
        <v>2081</v>
      </c>
      <c r="K193" t="s">
        <v>2082</v>
      </c>
      <c r="L193" t="s">
        <v>38</v>
      </c>
      <c r="M193" t="s">
        <v>677</v>
      </c>
      <c r="N193" t="s">
        <v>19</v>
      </c>
      <c r="O193" t="s">
        <v>2083</v>
      </c>
      <c r="P193" t="s">
        <v>2084</v>
      </c>
      <c r="Q193" t="s">
        <v>38</v>
      </c>
      <c r="R193" t="s">
        <v>38</v>
      </c>
    </row>
    <row r="194" spans="1:18">
      <c r="A194" s="2" t="str">
        <f>HYPERLINK("https://investorlist.com/investor/chandaria-capital?ref=Excel_ViewProfile","View Profile")</f>
        <v>View Profile</v>
      </c>
      <c r="B194" t="s">
        <v>2085</v>
      </c>
      <c r="C194" t="s">
        <v>19</v>
      </c>
      <c r="D194" t="s">
        <v>2086</v>
      </c>
      <c r="E194" t="s">
        <v>38</v>
      </c>
      <c r="F194" t="s">
        <v>2087</v>
      </c>
      <c r="G194" t="s">
        <v>2088</v>
      </c>
      <c r="H194" t="s">
        <v>38</v>
      </c>
      <c r="I194" t="s">
        <v>2089</v>
      </c>
      <c r="J194" t="s">
        <v>2090</v>
      </c>
      <c r="K194" t="s">
        <v>2091</v>
      </c>
      <c r="L194">
        <v>2017</v>
      </c>
      <c r="M194" t="s">
        <v>440</v>
      </c>
      <c r="N194" t="s">
        <v>119</v>
      </c>
      <c r="O194" t="s">
        <v>2092</v>
      </c>
      <c r="P194" t="s">
        <v>2093</v>
      </c>
      <c r="Q194" t="s">
        <v>2094</v>
      </c>
      <c r="R194" t="s">
        <v>2095</v>
      </c>
    </row>
    <row r="195" spans="1:18">
      <c r="A195" s="2" t="str">
        <f>HYPERLINK("https://investorlist.com/investor/hubspot-ventures?ref=Excel_ViewProfile","View Profile")</f>
        <v>View Profile</v>
      </c>
      <c r="B195" t="s">
        <v>2096</v>
      </c>
      <c r="C195" t="s">
        <v>530</v>
      </c>
      <c r="D195" t="s">
        <v>2097</v>
      </c>
      <c r="E195" t="s">
        <v>2098</v>
      </c>
      <c r="F195" t="s">
        <v>198</v>
      </c>
      <c r="G195" t="s">
        <v>2099</v>
      </c>
      <c r="H195" t="s">
        <v>2100</v>
      </c>
      <c r="I195" t="s">
        <v>2101</v>
      </c>
      <c r="J195" t="s">
        <v>38</v>
      </c>
      <c r="K195" t="s">
        <v>2102</v>
      </c>
      <c r="L195">
        <v>2018</v>
      </c>
      <c r="M195" t="s">
        <v>76</v>
      </c>
      <c r="N195" t="s">
        <v>19</v>
      </c>
      <c r="O195" t="s">
        <v>2103</v>
      </c>
      <c r="P195" t="s">
        <v>2104</v>
      </c>
      <c r="Q195" t="s">
        <v>2105</v>
      </c>
      <c r="R195" t="s">
        <v>2106</v>
      </c>
    </row>
    <row r="196" spans="1:18">
      <c r="A196" s="2" t="str">
        <f>HYPERLINK("https://investorlist.com/investor/msr-capital?ref=Excel_ViewProfile","View Profile")</f>
        <v>View Profile</v>
      </c>
      <c r="B196" t="s">
        <v>2107</v>
      </c>
      <c r="C196" t="s">
        <v>136</v>
      </c>
      <c r="D196" t="s">
        <v>2108</v>
      </c>
      <c r="E196" t="s">
        <v>38</v>
      </c>
      <c r="F196" t="s">
        <v>1775</v>
      </c>
      <c r="G196" t="s">
        <v>2109</v>
      </c>
      <c r="H196" t="s">
        <v>2110</v>
      </c>
      <c r="I196" t="s">
        <v>2111</v>
      </c>
      <c r="J196" t="s">
        <v>2112</v>
      </c>
      <c r="K196" t="s">
        <v>2113</v>
      </c>
      <c r="L196">
        <v>0</v>
      </c>
      <c r="M196" t="s">
        <v>2114</v>
      </c>
      <c r="N196" t="s">
        <v>19</v>
      </c>
      <c r="O196" t="s">
        <v>2115</v>
      </c>
      <c r="P196" t="s">
        <v>2116</v>
      </c>
      <c r="Q196" t="s">
        <v>2117</v>
      </c>
      <c r="R196" t="s">
        <v>38</v>
      </c>
    </row>
    <row r="197" spans="1:18">
      <c r="A197" s="2" t="str">
        <f>HYPERLINK("https://investorlist.com/investor/sadara-ventures?ref=Excel_ViewProfile","View Profile")</f>
        <v>View Profile</v>
      </c>
      <c r="B197" t="s">
        <v>2118</v>
      </c>
      <c r="C197" t="s">
        <v>19</v>
      </c>
      <c r="D197" t="s">
        <v>2119</v>
      </c>
      <c r="E197" t="s">
        <v>38</v>
      </c>
      <c r="F197" t="s">
        <v>2120</v>
      </c>
      <c r="G197" t="s">
        <v>2121</v>
      </c>
      <c r="H197" t="s">
        <v>38</v>
      </c>
      <c r="I197" t="s">
        <v>2122</v>
      </c>
      <c r="J197" t="s">
        <v>38</v>
      </c>
      <c r="K197" t="s">
        <v>2123</v>
      </c>
      <c r="L197">
        <v>2011</v>
      </c>
      <c r="M197" t="s">
        <v>1571</v>
      </c>
      <c r="N197" t="s">
        <v>19</v>
      </c>
      <c r="O197" t="s">
        <v>2124</v>
      </c>
      <c r="P197" t="s">
        <v>2125</v>
      </c>
      <c r="Q197" t="s">
        <v>2126</v>
      </c>
      <c r="R197" t="s">
        <v>2127</v>
      </c>
    </row>
    <row r="198" spans="1:18">
      <c r="A198" s="2" t="str">
        <f>HYPERLINK("https://investorlist.com/investor/eugene-investment-securities-co-ltd?ref=Excel_ViewProfile","View Profile")</f>
        <v>View Profile</v>
      </c>
      <c r="B198" t="s">
        <v>2128</v>
      </c>
      <c r="C198" t="s">
        <v>19</v>
      </c>
      <c r="D198" t="s">
        <v>2129</v>
      </c>
      <c r="E198" t="s">
        <v>38</v>
      </c>
      <c r="F198" t="s">
        <v>596</v>
      </c>
      <c r="G198" t="s">
        <v>2130</v>
      </c>
      <c r="H198" t="s">
        <v>38</v>
      </c>
      <c r="I198" t="s">
        <v>2131</v>
      </c>
      <c r="J198" t="s">
        <v>2132</v>
      </c>
      <c r="K198" t="s">
        <v>2133</v>
      </c>
      <c r="L198">
        <v>1954</v>
      </c>
      <c r="M198" t="s">
        <v>2134</v>
      </c>
      <c r="N198" t="s">
        <v>19</v>
      </c>
      <c r="O198" t="s">
        <v>2135</v>
      </c>
      <c r="P198" t="s">
        <v>1163</v>
      </c>
      <c r="Q198" t="s">
        <v>2136</v>
      </c>
      <c r="R198" t="s">
        <v>2137</v>
      </c>
    </row>
    <row r="199" spans="1:18">
      <c r="A199" s="2" t="str">
        <f>HYPERLINK("https://investorlist.com/investor/sabr-capital?ref=Excel_ViewProfile","View Profile")</f>
        <v>View Profile</v>
      </c>
      <c r="B199" t="s">
        <v>2138</v>
      </c>
      <c r="C199" t="s">
        <v>19</v>
      </c>
      <c r="D199" t="s">
        <v>1436</v>
      </c>
      <c r="E199" t="s">
        <v>324</v>
      </c>
      <c r="F199" t="s">
        <v>198</v>
      </c>
      <c r="G199" t="s">
        <v>2139</v>
      </c>
      <c r="H199" t="s">
        <v>38</v>
      </c>
      <c r="I199" t="s">
        <v>2140</v>
      </c>
      <c r="J199" t="s">
        <v>38</v>
      </c>
      <c r="K199" t="s">
        <v>2141</v>
      </c>
      <c r="L199">
        <v>2021</v>
      </c>
      <c r="M199" t="s">
        <v>863</v>
      </c>
      <c r="N199" t="s">
        <v>19</v>
      </c>
      <c r="O199" t="s">
        <v>2142</v>
      </c>
      <c r="P199" t="s">
        <v>2143</v>
      </c>
      <c r="Q199" t="s">
        <v>2144</v>
      </c>
      <c r="R199" t="s">
        <v>38</v>
      </c>
    </row>
    <row r="200" spans="1:18">
      <c r="A200" s="2" t="str">
        <f>HYPERLINK("https://investorlist.com/investor/accion-ventures?ref=Excel_ViewProfile","View Profile")</f>
        <v>View Profile</v>
      </c>
      <c r="B200" t="s">
        <v>2145</v>
      </c>
      <c r="C200" t="s">
        <v>19</v>
      </c>
      <c r="D200" t="s">
        <v>2146</v>
      </c>
      <c r="E200" t="s">
        <v>337</v>
      </c>
      <c r="F200" t="s">
        <v>198</v>
      </c>
      <c r="G200" t="s">
        <v>2147</v>
      </c>
      <c r="H200" t="s">
        <v>2148</v>
      </c>
      <c r="I200" t="s">
        <v>2149</v>
      </c>
      <c r="J200" t="s">
        <v>2150</v>
      </c>
      <c r="K200" t="s">
        <v>2151</v>
      </c>
      <c r="L200">
        <v>2012</v>
      </c>
      <c r="M200" t="s">
        <v>863</v>
      </c>
      <c r="N200" t="s">
        <v>19</v>
      </c>
      <c r="O200" t="s">
        <v>1152</v>
      </c>
      <c r="P200" t="s">
        <v>2152</v>
      </c>
      <c r="Q200" t="s">
        <v>2153</v>
      </c>
      <c r="R200" t="s">
        <v>2154</v>
      </c>
    </row>
    <row r="201" spans="1:18">
      <c r="A201" s="2" t="str">
        <f>HYPERLINK("https://investorlist.com/investor/echovc-partners?ref=Excel_ViewProfile","View Profile")</f>
        <v>View Profile</v>
      </c>
      <c r="B201" t="s">
        <v>2155</v>
      </c>
      <c r="C201" t="s">
        <v>19</v>
      </c>
      <c r="D201" t="s">
        <v>2156</v>
      </c>
      <c r="E201" t="s">
        <v>2157</v>
      </c>
      <c r="F201" t="s">
        <v>2158</v>
      </c>
      <c r="G201" t="s">
        <v>2159</v>
      </c>
      <c r="H201" t="s">
        <v>2160</v>
      </c>
      <c r="I201" t="s">
        <v>2161</v>
      </c>
      <c r="J201" t="s">
        <v>2162</v>
      </c>
      <c r="K201" t="s">
        <v>2163</v>
      </c>
      <c r="L201">
        <v>2011</v>
      </c>
      <c r="M201" t="s">
        <v>2164</v>
      </c>
      <c r="N201" t="s">
        <v>2165</v>
      </c>
      <c r="O201" t="s">
        <v>2166</v>
      </c>
      <c r="P201" t="s">
        <v>2167</v>
      </c>
      <c r="Q201" t="s">
        <v>2168</v>
      </c>
      <c r="R201" t="s">
        <v>2169</v>
      </c>
    </row>
    <row r="202" spans="1:18">
      <c r="A202" s="2" t="str">
        <f>HYPERLINK("https://investorlist.com/investor/acasia-group?ref=Excel_ViewProfile","View Profile")</f>
        <v>View Profile</v>
      </c>
      <c r="B202" t="s">
        <v>2170</v>
      </c>
      <c r="C202" t="s">
        <v>19</v>
      </c>
      <c r="D202" t="s">
        <v>2171</v>
      </c>
      <c r="E202" t="s">
        <v>2172</v>
      </c>
      <c r="F202" t="s">
        <v>265</v>
      </c>
      <c r="G202" t="s">
        <v>2173</v>
      </c>
      <c r="H202" t="s">
        <v>2174</v>
      </c>
      <c r="I202" t="s">
        <v>2175</v>
      </c>
      <c r="J202" t="s">
        <v>38</v>
      </c>
      <c r="K202" t="s">
        <v>2176</v>
      </c>
      <c r="L202">
        <v>2011</v>
      </c>
      <c r="M202" t="s">
        <v>600</v>
      </c>
      <c r="N202" t="s">
        <v>1418</v>
      </c>
      <c r="O202" t="s">
        <v>1633</v>
      </c>
      <c r="P202" t="s">
        <v>2177</v>
      </c>
      <c r="Q202" t="s">
        <v>2178</v>
      </c>
      <c r="R202" t="s">
        <v>2179</v>
      </c>
    </row>
    <row r="203" spans="1:18">
      <c r="A203" s="2" t="str">
        <f>HYPERLINK("https://investorlist.com/investor/invest-in-visions-gmbh?ref=Excel_ViewProfile","View Profile")</f>
        <v>View Profile</v>
      </c>
      <c r="B203" t="s">
        <v>2180</v>
      </c>
      <c r="C203" t="s">
        <v>136</v>
      </c>
      <c r="D203" t="s">
        <v>2181</v>
      </c>
      <c r="E203" t="s">
        <v>2182</v>
      </c>
      <c r="F203" t="s">
        <v>1209</v>
      </c>
      <c r="G203" t="s">
        <v>2183</v>
      </c>
      <c r="H203" t="s">
        <v>2184</v>
      </c>
      <c r="I203" t="s">
        <v>2185</v>
      </c>
      <c r="J203" t="s">
        <v>2186</v>
      </c>
      <c r="K203" t="s">
        <v>2187</v>
      </c>
      <c r="L203">
        <v>2006</v>
      </c>
      <c r="M203" t="s">
        <v>2188</v>
      </c>
      <c r="N203" t="s">
        <v>2189</v>
      </c>
      <c r="O203" t="s">
        <v>2190</v>
      </c>
      <c r="P203" t="s">
        <v>2191</v>
      </c>
      <c r="Q203" t="s">
        <v>2192</v>
      </c>
      <c r="R203" t="s">
        <v>2193</v>
      </c>
    </row>
    <row r="204" spans="1:18">
      <c r="A204" s="2" t="str">
        <f>HYPERLINK("https://investorlist.com/investor/private-infrastructure-development-group-pidg?ref=Excel_ViewProfile","View Profile")</f>
        <v>View Profile</v>
      </c>
      <c r="B204" t="s">
        <v>2194</v>
      </c>
      <c r="C204" t="s">
        <v>250</v>
      </c>
      <c r="D204" t="s">
        <v>2195</v>
      </c>
      <c r="E204" t="s">
        <v>38</v>
      </c>
      <c r="F204" t="s">
        <v>360</v>
      </c>
      <c r="G204" t="s">
        <v>2196</v>
      </c>
      <c r="H204" t="s">
        <v>38</v>
      </c>
      <c r="I204" t="s">
        <v>2197</v>
      </c>
      <c r="J204" t="s">
        <v>2198</v>
      </c>
      <c r="K204" t="s">
        <v>2199</v>
      </c>
      <c r="L204" t="s">
        <v>38</v>
      </c>
      <c r="M204" t="s">
        <v>130</v>
      </c>
      <c r="N204" t="s">
        <v>2200</v>
      </c>
      <c r="O204" t="s">
        <v>2201</v>
      </c>
      <c r="P204" t="s">
        <v>2202</v>
      </c>
      <c r="Q204" t="s">
        <v>2203</v>
      </c>
      <c r="R204" t="s">
        <v>38</v>
      </c>
    </row>
    <row r="205" spans="1:18">
      <c r="A205" s="2" t="str">
        <f>HYPERLINK("https://investorlist.com/investor/petronas-ventures?ref=Excel_ViewProfile","View Profile")</f>
        <v>View Profile</v>
      </c>
      <c r="B205" t="s">
        <v>2204</v>
      </c>
      <c r="C205" t="s">
        <v>530</v>
      </c>
      <c r="D205" t="s">
        <v>2205</v>
      </c>
      <c r="E205" t="s">
        <v>1533</v>
      </c>
      <c r="F205" t="s">
        <v>253</v>
      </c>
      <c r="G205" t="s">
        <v>2206</v>
      </c>
      <c r="H205" t="s">
        <v>38</v>
      </c>
      <c r="I205" t="s">
        <v>2207</v>
      </c>
      <c r="J205" t="s">
        <v>2208</v>
      </c>
      <c r="K205" t="s">
        <v>2209</v>
      </c>
      <c r="L205">
        <v>2019</v>
      </c>
      <c r="M205" t="s">
        <v>1526</v>
      </c>
      <c r="N205" t="s">
        <v>19</v>
      </c>
      <c r="O205" t="s">
        <v>2210</v>
      </c>
      <c r="P205" t="s">
        <v>2211</v>
      </c>
      <c r="Q205" t="s">
        <v>2212</v>
      </c>
      <c r="R205" t="s">
        <v>2213</v>
      </c>
    </row>
    <row r="206" spans="1:18">
      <c r="A206" s="2" t="str">
        <f>HYPERLINK("https://investorlist.com/investor/asiapay-capital?ref=Excel_ViewProfile","View Profile")</f>
        <v>View Profile</v>
      </c>
      <c r="B206" t="s">
        <v>2214</v>
      </c>
      <c r="C206" t="s">
        <v>19</v>
      </c>
      <c r="D206" t="s">
        <v>2215</v>
      </c>
      <c r="E206" t="s">
        <v>38</v>
      </c>
      <c r="F206" t="s">
        <v>585</v>
      </c>
      <c r="G206" t="s">
        <v>2216</v>
      </c>
      <c r="H206" t="s">
        <v>38</v>
      </c>
      <c r="I206" t="s">
        <v>2217</v>
      </c>
      <c r="J206" t="s">
        <v>2218</v>
      </c>
      <c r="K206" t="s">
        <v>2219</v>
      </c>
      <c r="L206">
        <v>2019</v>
      </c>
      <c r="M206" t="s">
        <v>1739</v>
      </c>
      <c r="N206" t="s">
        <v>19</v>
      </c>
      <c r="O206" t="s">
        <v>2220</v>
      </c>
      <c r="P206" t="s">
        <v>2221</v>
      </c>
      <c r="Q206" t="s">
        <v>2222</v>
      </c>
      <c r="R206" t="s">
        <v>2223</v>
      </c>
    </row>
    <row r="207" spans="1:18">
      <c r="A207" s="2" t="str">
        <f>HYPERLINK("https://investorlist.com/investor/nxtblock-capital?ref=Excel_ViewProfile","View Profile")</f>
        <v>View Profile</v>
      </c>
      <c r="B207" t="s">
        <v>2224</v>
      </c>
      <c r="C207" t="s">
        <v>19</v>
      </c>
      <c r="D207" t="s">
        <v>2225</v>
      </c>
      <c r="E207" t="s">
        <v>312</v>
      </c>
      <c r="F207" t="s">
        <v>198</v>
      </c>
      <c r="G207" t="s">
        <v>2226</v>
      </c>
      <c r="H207" t="s">
        <v>38</v>
      </c>
      <c r="I207" t="s">
        <v>2227</v>
      </c>
      <c r="J207" t="s">
        <v>38</v>
      </c>
      <c r="K207" t="s">
        <v>2228</v>
      </c>
      <c r="L207">
        <v>2017</v>
      </c>
      <c r="M207" t="s">
        <v>64</v>
      </c>
      <c r="N207" t="s">
        <v>487</v>
      </c>
      <c r="O207" t="s">
        <v>177</v>
      </c>
      <c r="P207" t="s">
        <v>1993</v>
      </c>
      <c r="Q207" t="s">
        <v>1782</v>
      </c>
      <c r="R207" t="s">
        <v>38</v>
      </c>
    </row>
    <row r="208" spans="1:18">
      <c r="A208" s="2" t="str">
        <f>HYPERLINK("https://investorlist.com/investor/pds-ventures?ref=Excel_ViewProfile","View Profile")</f>
        <v>View Profile</v>
      </c>
      <c r="B208" t="s">
        <v>2229</v>
      </c>
      <c r="C208" t="s">
        <v>19</v>
      </c>
      <c r="D208" t="s">
        <v>2230</v>
      </c>
      <c r="E208" t="s">
        <v>1329</v>
      </c>
      <c r="F208" t="s">
        <v>572</v>
      </c>
      <c r="G208" t="s">
        <v>2231</v>
      </c>
      <c r="H208" t="s">
        <v>38</v>
      </c>
      <c r="I208" t="s">
        <v>2232</v>
      </c>
      <c r="J208" t="s">
        <v>2233</v>
      </c>
      <c r="K208" t="s">
        <v>2234</v>
      </c>
      <c r="L208" t="s">
        <v>38</v>
      </c>
      <c r="M208" t="s">
        <v>64</v>
      </c>
      <c r="N208" t="s">
        <v>217</v>
      </c>
      <c r="O208" t="s">
        <v>2235</v>
      </c>
      <c r="P208" t="s">
        <v>2236</v>
      </c>
      <c r="Q208" t="s">
        <v>38</v>
      </c>
      <c r="R208" t="s">
        <v>38</v>
      </c>
    </row>
    <row r="209" spans="1:18">
      <c r="A209" s="2" t="str">
        <f>HYPERLINK("https://investorlist.com/investor/arcane-crypto?ref=Excel_ViewProfile","View Profile")</f>
        <v>View Profile</v>
      </c>
      <c r="B209" t="s">
        <v>2237</v>
      </c>
      <c r="C209" t="s">
        <v>19</v>
      </c>
      <c r="D209" t="s">
        <v>2238</v>
      </c>
      <c r="E209" t="s">
        <v>2239</v>
      </c>
      <c r="F209" t="s">
        <v>2240</v>
      </c>
      <c r="G209" t="s">
        <v>2241</v>
      </c>
      <c r="H209" t="s">
        <v>38</v>
      </c>
      <c r="I209" t="s">
        <v>2242</v>
      </c>
      <c r="J209" t="s">
        <v>38</v>
      </c>
      <c r="K209" t="s">
        <v>2243</v>
      </c>
      <c r="L209">
        <v>2018</v>
      </c>
      <c r="M209" t="s">
        <v>737</v>
      </c>
      <c r="N209" t="s">
        <v>487</v>
      </c>
      <c r="O209" t="s">
        <v>2244</v>
      </c>
      <c r="P209" t="s">
        <v>2245</v>
      </c>
      <c r="Q209" t="s">
        <v>2246</v>
      </c>
      <c r="R209" t="s">
        <v>2247</v>
      </c>
    </row>
    <row r="210" spans="1:18">
      <c r="A210" s="2" t="str">
        <f>HYPERLINK("https://investorlist.com/investor/sirdab-lab?ref=Excel_ViewProfile","View Profile")</f>
        <v>View Profile</v>
      </c>
      <c r="B210" t="s">
        <v>2248</v>
      </c>
      <c r="C210" t="s">
        <v>19</v>
      </c>
      <c r="D210" t="s">
        <v>2249</v>
      </c>
      <c r="E210" t="s">
        <v>2250</v>
      </c>
      <c r="F210" t="s">
        <v>46</v>
      </c>
      <c r="G210" t="s">
        <v>2251</v>
      </c>
      <c r="H210" t="s">
        <v>2252</v>
      </c>
      <c r="I210" t="s">
        <v>2253</v>
      </c>
      <c r="J210" t="s">
        <v>2254</v>
      </c>
      <c r="K210" t="s">
        <v>2255</v>
      </c>
      <c r="L210">
        <v>2014</v>
      </c>
      <c r="M210" t="s">
        <v>440</v>
      </c>
      <c r="N210" t="s">
        <v>19</v>
      </c>
      <c r="O210" t="s">
        <v>2256</v>
      </c>
      <c r="P210" t="s">
        <v>2257</v>
      </c>
      <c r="Q210" t="s">
        <v>2258</v>
      </c>
      <c r="R210" t="s">
        <v>2259</v>
      </c>
    </row>
    <row r="211" spans="1:18">
      <c r="A211" s="2" t="str">
        <f>HYPERLINK("https://investorlist.com/investor/sijam-ventures?ref=Excel_ViewProfile","View Profile")</f>
        <v>View Profile</v>
      </c>
      <c r="B211" t="s">
        <v>2260</v>
      </c>
      <c r="C211" t="s">
        <v>19</v>
      </c>
      <c r="D211" t="s">
        <v>2261</v>
      </c>
      <c r="E211" t="s">
        <v>38</v>
      </c>
      <c r="F211" t="s">
        <v>46</v>
      </c>
      <c r="G211" t="s">
        <v>2262</v>
      </c>
      <c r="H211" t="s">
        <v>2263</v>
      </c>
      <c r="I211" t="s">
        <v>2264</v>
      </c>
      <c r="J211" t="s">
        <v>38</v>
      </c>
      <c r="K211" t="s">
        <v>2265</v>
      </c>
      <c r="L211">
        <v>2019</v>
      </c>
      <c r="M211" t="s">
        <v>1739</v>
      </c>
      <c r="N211" t="s">
        <v>19</v>
      </c>
      <c r="O211" t="s">
        <v>2266</v>
      </c>
      <c r="P211" t="s">
        <v>2267</v>
      </c>
      <c r="Q211" t="s">
        <v>2268</v>
      </c>
      <c r="R211" t="s">
        <v>2269</v>
      </c>
    </row>
    <row r="212" spans="1:18">
      <c r="A212" s="2" t="str">
        <f>HYPERLINK("https://investorlist.com/investor/wings-capital-ventures?ref=Excel_ViewProfile","View Profile")</f>
        <v>View Profile</v>
      </c>
      <c r="B212" t="s">
        <v>2270</v>
      </c>
      <c r="C212" t="s">
        <v>19</v>
      </c>
      <c r="D212" t="s">
        <v>2271</v>
      </c>
      <c r="E212" t="s">
        <v>38</v>
      </c>
      <c r="F212" t="s">
        <v>585</v>
      </c>
      <c r="G212" t="s">
        <v>2272</v>
      </c>
      <c r="H212" t="s">
        <v>2273</v>
      </c>
      <c r="I212" t="s">
        <v>2274</v>
      </c>
      <c r="J212" t="s">
        <v>38</v>
      </c>
      <c r="K212" t="s">
        <v>2275</v>
      </c>
      <c r="L212">
        <v>2022</v>
      </c>
      <c r="M212" t="s">
        <v>1739</v>
      </c>
      <c r="N212" t="s">
        <v>19</v>
      </c>
      <c r="O212" t="s">
        <v>2276</v>
      </c>
      <c r="P212" t="s">
        <v>2277</v>
      </c>
      <c r="Q212" t="s">
        <v>2278</v>
      </c>
      <c r="R212" t="s">
        <v>2279</v>
      </c>
    </row>
    <row r="213" spans="1:18">
      <c r="A213" s="2" t="str">
        <f>HYPERLINK("https://investorlist.com/investor/wavemaker-ventures?ref=Excel_ViewProfile","View Profile")</f>
        <v>View Profile</v>
      </c>
      <c r="B213" t="s">
        <v>2280</v>
      </c>
      <c r="C213" t="s">
        <v>19</v>
      </c>
      <c r="D213" t="s">
        <v>2281</v>
      </c>
      <c r="E213" t="s">
        <v>312</v>
      </c>
      <c r="F213" t="s">
        <v>198</v>
      </c>
      <c r="G213" t="s">
        <v>2282</v>
      </c>
      <c r="H213" t="s">
        <v>2283</v>
      </c>
      <c r="I213" t="s">
        <v>2284</v>
      </c>
      <c r="J213" t="s">
        <v>38</v>
      </c>
      <c r="K213" t="s">
        <v>2285</v>
      </c>
      <c r="L213">
        <v>2012</v>
      </c>
      <c r="M213" t="s">
        <v>64</v>
      </c>
      <c r="N213" t="s">
        <v>19</v>
      </c>
      <c r="O213" t="s">
        <v>177</v>
      </c>
      <c r="P213" t="s">
        <v>2286</v>
      </c>
      <c r="Q213" t="s">
        <v>2287</v>
      </c>
      <c r="R213" t="s">
        <v>2288</v>
      </c>
    </row>
    <row r="214" spans="1:18">
      <c r="A214" s="2" t="str">
        <f>HYPERLINK("https://investorlist.com/investor/earlsfield-capital?ref=Excel_ViewProfile","View Profile")</f>
        <v>View Profile</v>
      </c>
      <c r="B214" t="s">
        <v>2289</v>
      </c>
      <c r="C214" t="s">
        <v>19</v>
      </c>
      <c r="D214" t="s">
        <v>2290</v>
      </c>
      <c r="E214" t="s">
        <v>934</v>
      </c>
      <c r="F214" t="s">
        <v>360</v>
      </c>
      <c r="G214" t="s">
        <v>2291</v>
      </c>
      <c r="H214" t="s">
        <v>38</v>
      </c>
      <c r="I214" t="s">
        <v>2292</v>
      </c>
      <c r="J214" t="s">
        <v>2293</v>
      </c>
      <c r="K214" t="s">
        <v>2294</v>
      </c>
      <c r="L214">
        <v>2014</v>
      </c>
      <c r="M214" t="s">
        <v>440</v>
      </c>
      <c r="N214" t="s">
        <v>19</v>
      </c>
      <c r="O214" t="s">
        <v>2295</v>
      </c>
      <c r="P214" t="s">
        <v>1552</v>
      </c>
      <c r="Q214" t="s">
        <v>2296</v>
      </c>
      <c r="R214" t="s">
        <v>2297</v>
      </c>
    </row>
    <row r="215" spans="1:18">
      <c r="A215" s="2" t="str">
        <f>HYPERLINK("https://investorlist.com/investor/resolution-ventures?ref=Excel_ViewProfile","View Profile")</f>
        <v>View Profile</v>
      </c>
      <c r="B215" t="s">
        <v>2298</v>
      </c>
      <c r="C215" t="s">
        <v>19</v>
      </c>
      <c r="D215" t="s">
        <v>2299</v>
      </c>
      <c r="E215" t="s">
        <v>38</v>
      </c>
      <c r="F215" t="s">
        <v>210</v>
      </c>
      <c r="G215" t="s">
        <v>2300</v>
      </c>
      <c r="H215" t="s">
        <v>2301</v>
      </c>
      <c r="I215" t="s">
        <v>2302</v>
      </c>
      <c r="J215" t="s">
        <v>2303</v>
      </c>
      <c r="K215" t="s">
        <v>2304</v>
      </c>
      <c r="L215" t="s">
        <v>38</v>
      </c>
      <c r="M215" t="s">
        <v>107</v>
      </c>
      <c r="N215" t="s">
        <v>19</v>
      </c>
      <c r="O215" t="s">
        <v>2305</v>
      </c>
      <c r="P215" t="s">
        <v>723</v>
      </c>
      <c r="Q215" t="s">
        <v>38</v>
      </c>
      <c r="R215" t="s">
        <v>38</v>
      </c>
    </row>
    <row r="216" spans="1:18">
      <c r="A216" s="2" t="str">
        <f>HYPERLINK("https://investorlist.com/investor/lightsmith-group?ref=Excel_ViewProfile","View Profile")</f>
        <v>View Profile</v>
      </c>
      <c r="B216" t="s">
        <v>2306</v>
      </c>
      <c r="C216" t="s">
        <v>181</v>
      </c>
      <c r="D216" t="s">
        <v>2307</v>
      </c>
      <c r="E216" t="s">
        <v>324</v>
      </c>
      <c r="F216" t="s">
        <v>198</v>
      </c>
      <c r="G216" t="s">
        <v>2308</v>
      </c>
      <c r="H216" t="s">
        <v>38</v>
      </c>
      <c r="I216" t="s">
        <v>2309</v>
      </c>
      <c r="J216" t="s">
        <v>2310</v>
      </c>
      <c r="K216" t="s">
        <v>2311</v>
      </c>
      <c r="L216" t="s">
        <v>38</v>
      </c>
      <c r="M216" t="s">
        <v>1344</v>
      </c>
      <c r="N216" t="s">
        <v>2312</v>
      </c>
      <c r="O216" t="s">
        <v>2313</v>
      </c>
      <c r="P216" t="s">
        <v>2314</v>
      </c>
      <c r="Q216" t="s">
        <v>38</v>
      </c>
      <c r="R216" t="s">
        <v>38</v>
      </c>
    </row>
    <row r="217" spans="1:18">
      <c r="A217" s="2" t="str">
        <f>HYPERLINK("https://investorlist.com/investor/accion-frontier-inclusion-fund?ref=Excel_ViewProfile","View Profile")</f>
        <v>View Profile</v>
      </c>
      <c r="B217" t="s">
        <v>2315</v>
      </c>
      <c r="C217" t="s">
        <v>19</v>
      </c>
      <c r="D217" t="s">
        <v>38</v>
      </c>
      <c r="E217" t="s">
        <v>38</v>
      </c>
      <c r="F217" t="s">
        <v>198</v>
      </c>
      <c r="G217" t="s">
        <v>2316</v>
      </c>
      <c r="H217" t="s">
        <v>38</v>
      </c>
      <c r="I217" t="s">
        <v>2317</v>
      </c>
      <c r="J217" t="s">
        <v>2150</v>
      </c>
      <c r="K217" t="s">
        <v>2318</v>
      </c>
      <c r="L217">
        <v>2015</v>
      </c>
      <c r="M217" t="s">
        <v>64</v>
      </c>
      <c r="N217" t="s">
        <v>19</v>
      </c>
      <c r="O217" t="s">
        <v>2319</v>
      </c>
      <c r="P217" t="s">
        <v>2320</v>
      </c>
      <c r="Q217" t="s">
        <v>2321</v>
      </c>
      <c r="R217" t="s">
        <v>2322</v>
      </c>
    </row>
    <row r="218" spans="1:18">
      <c r="A218" s="2" t="str">
        <f>HYPERLINK("https://investorlist.com/investor/saison-ventures?ref=Excel_ViewProfile","View Profile")</f>
        <v>View Profile</v>
      </c>
      <c r="B218" t="s">
        <v>2323</v>
      </c>
      <c r="C218" t="s">
        <v>19</v>
      </c>
      <c r="D218" t="s">
        <v>2324</v>
      </c>
      <c r="E218" t="s">
        <v>38</v>
      </c>
      <c r="F218" t="s">
        <v>784</v>
      </c>
      <c r="G218" t="s">
        <v>2325</v>
      </c>
      <c r="H218" t="s">
        <v>38</v>
      </c>
      <c r="I218" t="s">
        <v>2326</v>
      </c>
      <c r="J218" t="s">
        <v>38</v>
      </c>
      <c r="K218" t="s">
        <v>2327</v>
      </c>
      <c r="L218">
        <v>2015</v>
      </c>
      <c r="M218" t="s">
        <v>52</v>
      </c>
      <c r="N218" t="s">
        <v>19</v>
      </c>
      <c r="O218" t="s">
        <v>2328</v>
      </c>
      <c r="P218" t="s">
        <v>2329</v>
      </c>
      <c r="Q218" t="s">
        <v>2330</v>
      </c>
      <c r="R218" t="s">
        <v>2331</v>
      </c>
    </row>
    <row r="219" spans="1:18">
      <c r="A219" s="2" t="str">
        <f>HYPERLINK("https://investorlist.com/investor/kejora-capital?ref=Excel_ViewProfile","View Profile")</f>
        <v>View Profile</v>
      </c>
      <c r="B219" t="s">
        <v>2332</v>
      </c>
      <c r="C219" t="s">
        <v>19</v>
      </c>
      <c r="D219" t="s">
        <v>2333</v>
      </c>
      <c r="E219" t="s">
        <v>1939</v>
      </c>
      <c r="F219" t="s">
        <v>718</v>
      </c>
      <c r="G219" t="s">
        <v>2334</v>
      </c>
      <c r="H219" t="s">
        <v>38</v>
      </c>
      <c r="I219" t="s">
        <v>2335</v>
      </c>
      <c r="J219" t="s">
        <v>2336</v>
      </c>
      <c r="K219" t="s">
        <v>2337</v>
      </c>
      <c r="L219">
        <v>2014</v>
      </c>
      <c r="M219" t="s">
        <v>737</v>
      </c>
      <c r="N219" t="s">
        <v>19</v>
      </c>
      <c r="O219" t="s">
        <v>2338</v>
      </c>
      <c r="P219" t="s">
        <v>2339</v>
      </c>
      <c r="Q219" t="s">
        <v>2340</v>
      </c>
      <c r="R219" t="s">
        <v>2341</v>
      </c>
    </row>
    <row r="220" spans="1:18">
      <c r="A220" s="2" t="str">
        <f>HYPERLINK("https://investorlist.com/investor/gsv-ventures?ref=Excel_ViewProfile","View Profile")</f>
        <v>View Profile</v>
      </c>
      <c r="B220" t="s">
        <v>2342</v>
      </c>
      <c r="C220" t="s">
        <v>19</v>
      </c>
      <c r="D220" t="s">
        <v>2343</v>
      </c>
      <c r="E220" t="s">
        <v>770</v>
      </c>
      <c r="F220" t="s">
        <v>198</v>
      </c>
      <c r="G220" t="s">
        <v>2344</v>
      </c>
      <c r="H220" t="s">
        <v>2345</v>
      </c>
      <c r="I220" t="s">
        <v>2346</v>
      </c>
      <c r="J220" t="s">
        <v>2347</v>
      </c>
      <c r="K220" t="s">
        <v>2348</v>
      </c>
      <c r="L220">
        <v>2007</v>
      </c>
      <c r="M220" t="s">
        <v>2349</v>
      </c>
      <c r="N220" t="s">
        <v>19</v>
      </c>
      <c r="O220" t="s">
        <v>2350</v>
      </c>
      <c r="P220" t="s">
        <v>2351</v>
      </c>
      <c r="Q220" t="s">
        <v>2352</v>
      </c>
      <c r="R220" t="s">
        <v>2353</v>
      </c>
    </row>
    <row r="221" spans="1:18">
      <c r="A221" s="2" t="str">
        <f>HYPERLINK("https://investorlist.com/investor/crossfund?ref=Excel_ViewProfile","View Profile")</f>
        <v>View Profile</v>
      </c>
      <c r="B221" t="s">
        <v>2354</v>
      </c>
      <c r="C221" t="s">
        <v>19</v>
      </c>
      <c r="D221" t="s">
        <v>38</v>
      </c>
      <c r="E221" t="s">
        <v>38</v>
      </c>
      <c r="F221" t="s">
        <v>210</v>
      </c>
      <c r="G221" t="s">
        <v>2355</v>
      </c>
      <c r="H221" t="s">
        <v>2356</v>
      </c>
      <c r="I221" t="s">
        <v>2357</v>
      </c>
      <c r="J221" t="s">
        <v>38</v>
      </c>
      <c r="K221" t="s">
        <v>2358</v>
      </c>
      <c r="L221">
        <v>2021</v>
      </c>
      <c r="M221" t="s">
        <v>863</v>
      </c>
      <c r="N221" t="s">
        <v>19</v>
      </c>
      <c r="O221" t="s">
        <v>2359</v>
      </c>
      <c r="P221" t="s">
        <v>2360</v>
      </c>
      <c r="Q221" t="s">
        <v>2361</v>
      </c>
      <c r="R221" t="s">
        <v>38</v>
      </c>
    </row>
    <row r="222" spans="1:18">
      <c r="A222" s="2" t="str">
        <f>HYPERLINK("https://investorlist.com/investor/crimson-seed-capital?ref=Excel_ViewProfile","View Profile")</f>
        <v>View Profile</v>
      </c>
      <c r="B222" t="s">
        <v>2362</v>
      </c>
      <c r="C222" t="s">
        <v>19</v>
      </c>
      <c r="D222" t="s">
        <v>2363</v>
      </c>
      <c r="E222" t="s">
        <v>2098</v>
      </c>
      <c r="F222" t="s">
        <v>198</v>
      </c>
      <c r="G222" t="s">
        <v>2364</v>
      </c>
      <c r="H222" t="s">
        <v>38</v>
      </c>
      <c r="I222" t="s">
        <v>2365</v>
      </c>
      <c r="J222" t="s">
        <v>2366</v>
      </c>
      <c r="K222" t="s">
        <v>2367</v>
      </c>
      <c r="L222" t="s">
        <v>38</v>
      </c>
      <c r="M222" t="s">
        <v>885</v>
      </c>
      <c r="N222" t="s">
        <v>19</v>
      </c>
      <c r="O222" t="s">
        <v>2368</v>
      </c>
      <c r="P222" t="s">
        <v>2369</v>
      </c>
      <c r="Q222" t="s">
        <v>38</v>
      </c>
      <c r="R222" t="s">
        <v>38</v>
      </c>
    </row>
    <row r="223" spans="1:18">
      <c r="A223" s="2" t="str">
        <f>HYPERLINK("https://investorlist.com/investor/sistema-asia-capital?ref=Excel_ViewProfile","View Profile")</f>
        <v>View Profile</v>
      </c>
      <c r="B223" t="s">
        <v>2370</v>
      </c>
      <c r="C223" t="s">
        <v>19</v>
      </c>
      <c r="D223" t="s">
        <v>2371</v>
      </c>
      <c r="E223" t="s">
        <v>38</v>
      </c>
      <c r="F223" t="s">
        <v>210</v>
      </c>
      <c r="G223" t="s">
        <v>2372</v>
      </c>
      <c r="H223" t="s">
        <v>38</v>
      </c>
      <c r="I223" t="s">
        <v>2373</v>
      </c>
      <c r="J223" t="s">
        <v>2374</v>
      </c>
      <c r="K223" t="s">
        <v>2375</v>
      </c>
      <c r="L223">
        <v>2015</v>
      </c>
      <c r="M223" t="s">
        <v>1302</v>
      </c>
      <c r="N223" t="s">
        <v>19</v>
      </c>
      <c r="O223" t="s">
        <v>1152</v>
      </c>
      <c r="P223" t="s">
        <v>1552</v>
      </c>
      <c r="Q223" t="s">
        <v>2376</v>
      </c>
      <c r="R223" t="s">
        <v>2377</v>
      </c>
    </row>
    <row r="224" spans="1:18">
      <c r="A224" s="2" t="str">
        <f>HYPERLINK("https://investorlist.com/investor/abc-impact?ref=Excel_ViewProfile","View Profile")</f>
        <v>View Profile</v>
      </c>
      <c r="B224" t="s">
        <v>2378</v>
      </c>
      <c r="C224" t="s">
        <v>181</v>
      </c>
      <c r="D224" t="s">
        <v>606</v>
      </c>
      <c r="E224" t="s">
        <v>38</v>
      </c>
      <c r="F224" t="s">
        <v>210</v>
      </c>
      <c r="G224" t="s">
        <v>2379</v>
      </c>
      <c r="H224" t="s">
        <v>38</v>
      </c>
      <c r="I224" t="s">
        <v>38</v>
      </c>
      <c r="J224" t="s">
        <v>38</v>
      </c>
      <c r="K224" t="s">
        <v>2380</v>
      </c>
      <c r="L224">
        <v>2019</v>
      </c>
      <c r="M224" t="s">
        <v>1526</v>
      </c>
      <c r="N224" t="s">
        <v>119</v>
      </c>
      <c r="O224" t="s">
        <v>777</v>
      </c>
      <c r="P224" t="s">
        <v>2381</v>
      </c>
      <c r="Q224" t="s">
        <v>2382</v>
      </c>
      <c r="R224" t="s">
        <v>2383</v>
      </c>
    </row>
    <row r="225" spans="1:18">
      <c r="A225" s="2" t="str">
        <f>HYPERLINK("https://investorlist.com/investor/plutus21-capital?ref=Excel_ViewProfile","View Profile")</f>
        <v>View Profile</v>
      </c>
      <c r="B225" t="s">
        <v>2384</v>
      </c>
      <c r="C225" t="s">
        <v>19</v>
      </c>
      <c r="D225" t="s">
        <v>2385</v>
      </c>
      <c r="E225" t="s">
        <v>913</v>
      </c>
      <c r="F225" t="s">
        <v>198</v>
      </c>
      <c r="G225" t="s">
        <v>2386</v>
      </c>
      <c r="H225" t="s">
        <v>2387</v>
      </c>
      <c r="I225" t="s">
        <v>2388</v>
      </c>
      <c r="J225" t="s">
        <v>2389</v>
      </c>
      <c r="K225" t="s">
        <v>2390</v>
      </c>
      <c r="L225" t="s">
        <v>38</v>
      </c>
      <c r="M225" t="s">
        <v>64</v>
      </c>
      <c r="N225" t="s">
        <v>19</v>
      </c>
      <c r="O225" t="s">
        <v>177</v>
      </c>
      <c r="P225" t="s">
        <v>2391</v>
      </c>
      <c r="Q225" t="s">
        <v>38</v>
      </c>
      <c r="R225" t="s">
        <v>38</v>
      </c>
    </row>
    <row r="226" spans="1:18">
      <c r="A226" s="2" t="str">
        <f>HYPERLINK("https://investorlist.com/investor/access-bridge-ventures?ref=Excel_ViewProfile","View Profile")</f>
        <v>View Profile</v>
      </c>
      <c r="B226" t="s">
        <v>2392</v>
      </c>
      <c r="C226" t="s">
        <v>19</v>
      </c>
      <c r="D226" t="s">
        <v>2393</v>
      </c>
      <c r="E226" t="s">
        <v>38</v>
      </c>
      <c r="F226" t="s">
        <v>22</v>
      </c>
      <c r="G226" t="s">
        <v>2394</v>
      </c>
      <c r="H226" t="s">
        <v>38</v>
      </c>
      <c r="I226" t="s">
        <v>38</v>
      </c>
      <c r="J226" t="s">
        <v>38</v>
      </c>
      <c r="K226" t="s">
        <v>2395</v>
      </c>
      <c r="L226">
        <v>2019</v>
      </c>
      <c r="M226" t="s">
        <v>107</v>
      </c>
      <c r="N226" t="s">
        <v>19</v>
      </c>
      <c r="O226" t="s">
        <v>2396</v>
      </c>
      <c r="P226" t="s">
        <v>2397</v>
      </c>
      <c r="Q226" t="s">
        <v>2398</v>
      </c>
      <c r="R226" t="s">
        <v>2399</v>
      </c>
    </row>
    <row r="227" spans="1:18">
      <c r="A227" s="2" t="str">
        <f>HYPERLINK("https://investorlist.com/investor/mindworks-capital?ref=Excel_ViewProfile","View Profile")</f>
        <v>View Profile</v>
      </c>
      <c r="B227" t="s">
        <v>2400</v>
      </c>
      <c r="C227" t="s">
        <v>19</v>
      </c>
      <c r="D227" t="s">
        <v>2401</v>
      </c>
      <c r="E227" t="s">
        <v>38</v>
      </c>
      <c r="F227" t="s">
        <v>585</v>
      </c>
      <c r="G227" t="s">
        <v>2402</v>
      </c>
      <c r="H227" t="s">
        <v>2403</v>
      </c>
      <c r="I227" t="s">
        <v>2404</v>
      </c>
      <c r="J227" t="s">
        <v>38</v>
      </c>
      <c r="K227" t="s">
        <v>2405</v>
      </c>
      <c r="L227">
        <v>2013</v>
      </c>
      <c r="M227" t="s">
        <v>440</v>
      </c>
      <c r="N227" t="s">
        <v>19</v>
      </c>
      <c r="O227" t="s">
        <v>2406</v>
      </c>
      <c r="P227" t="s">
        <v>644</v>
      </c>
      <c r="Q227" t="s">
        <v>2407</v>
      </c>
      <c r="R227" t="s">
        <v>2408</v>
      </c>
    </row>
    <row r="228" spans="1:18">
      <c r="A228" s="2" t="str">
        <f>HYPERLINK("https://investorlist.com/investor/akd-venture-funds-limited?ref=Excel_ViewProfile","View Profile")</f>
        <v>View Profile</v>
      </c>
      <c r="B228" t="s">
        <v>2409</v>
      </c>
      <c r="C228" t="s">
        <v>19</v>
      </c>
      <c r="D228" t="s">
        <v>2410</v>
      </c>
      <c r="E228" t="s">
        <v>846</v>
      </c>
      <c r="F228" t="s">
        <v>806</v>
      </c>
      <c r="G228" t="s">
        <v>2411</v>
      </c>
      <c r="H228" t="s">
        <v>38</v>
      </c>
      <c r="I228" t="s">
        <v>2412</v>
      </c>
      <c r="J228" t="s">
        <v>2413</v>
      </c>
      <c r="K228" t="s">
        <v>2414</v>
      </c>
      <c r="L228" t="s">
        <v>38</v>
      </c>
      <c r="M228" t="s">
        <v>229</v>
      </c>
      <c r="N228" t="s">
        <v>19</v>
      </c>
      <c r="O228" t="s">
        <v>177</v>
      </c>
      <c r="P228" t="s">
        <v>812</v>
      </c>
      <c r="Q228" t="s">
        <v>38</v>
      </c>
      <c r="R228" t="s">
        <v>38</v>
      </c>
    </row>
    <row r="229" spans="1:18">
      <c r="A229" s="2" t="str">
        <f>HYPERLINK("https://investorlist.com/investor/found-ventures?ref=Excel_ViewProfile","View Profile")</f>
        <v>View Profile</v>
      </c>
      <c r="B229" t="s">
        <v>2415</v>
      </c>
      <c r="C229" t="s">
        <v>19</v>
      </c>
      <c r="D229" t="s">
        <v>2416</v>
      </c>
      <c r="E229" t="s">
        <v>606</v>
      </c>
      <c r="F229" t="s">
        <v>210</v>
      </c>
      <c r="G229" t="s">
        <v>2417</v>
      </c>
      <c r="H229" t="s">
        <v>38</v>
      </c>
      <c r="I229" t="s">
        <v>2418</v>
      </c>
      <c r="J229" t="s">
        <v>2419</v>
      </c>
      <c r="K229" t="s">
        <v>2420</v>
      </c>
      <c r="L229">
        <v>2015</v>
      </c>
      <c r="M229" t="s">
        <v>229</v>
      </c>
      <c r="N229" t="s">
        <v>19</v>
      </c>
      <c r="O229" t="s">
        <v>177</v>
      </c>
      <c r="P229" t="s">
        <v>2421</v>
      </c>
      <c r="Q229" t="s">
        <v>2422</v>
      </c>
      <c r="R229" t="s">
        <v>2423</v>
      </c>
    </row>
    <row r="230" spans="1:18">
      <c r="A230" s="2" t="str">
        <f>HYPERLINK("https://investorlist.com/investor/62-ventures?ref=Excel_ViewProfile","View Profile")</f>
        <v>View Profile</v>
      </c>
      <c r="B230" t="s">
        <v>2424</v>
      </c>
      <c r="C230" t="s">
        <v>19</v>
      </c>
      <c r="D230" t="s">
        <v>2425</v>
      </c>
      <c r="E230" t="s">
        <v>770</v>
      </c>
      <c r="F230" t="s">
        <v>198</v>
      </c>
      <c r="G230" t="s">
        <v>2426</v>
      </c>
      <c r="H230" t="s">
        <v>38</v>
      </c>
      <c r="I230" t="s">
        <v>2427</v>
      </c>
      <c r="J230" t="s">
        <v>38</v>
      </c>
      <c r="K230" t="s">
        <v>2428</v>
      </c>
      <c r="L230">
        <v>0</v>
      </c>
      <c r="M230" t="s">
        <v>28</v>
      </c>
      <c r="N230" t="s">
        <v>19</v>
      </c>
      <c r="O230" t="s">
        <v>2429</v>
      </c>
      <c r="P230" t="s">
        <v>2430</v>
      </c>
      <c r="Q230" t="s">
        <v>2431</v>
      </c>
      <c r="R230" t="s">
        <v>2432</v>
      </c>
    </row>
    <row r="231" spans="1:18">
      <c r="A231" s="2" t="str">
        <f>HYPERLINK("https://investorlist.com/investor/paradigm-co?ref=Excel_ViewProfile","View Profile")</f>
        <v>View Profile</v>
      </c>
      <c r="B231" t="s">
        <v>2433</v>
      </c>
      <c r="C231" t="s">
        <v>19</v>
      </c>
      <c r="D231" t="s">
        <v>2434</v>
      </c>
      <c r="E231" t="s">
        <v>38</v>
      </c>
      <c r="F231" t="s">
        <v>210</v>
      </c>
      <c r="G231" t="s">
        <v>2435</v>
      </c>
      <c r="H231" t="s">
        <v>38</v>
      </c>
      <c r="I231" t="s">
        <v>2436</v>
      </c>
      <c r="J231" t="s">
        <v>38</v>
      </c>
      <c r="K231" t="s">
        <v>2437</v>
      </c>
      <c r="L231">
        <v>2018</v>
      </c>
      <c r="M231" t="s">
        <v>64</v>
      </c>
      <c r="N231" t="s">
        <v>19</v>
      </c>
      <c r="O231" t="s">
        <v>2438</v>
      </c>
      <c r="P231" t="s">
        <v>2439</v>
      </c>
      <c r="Q231" t="s">
        <v>2440</v>
      </c>
      <c r="R231" t="s">
        <v>38</v>
      </c>
    </row>
    <row r="232" spans="1:18">
      <c r="A232" s="2" t="str">
        <f>HYPERLINK("https://investorlist.com/investor/skywell-capital-partners?ref=Excel_ViewProfile","View Profile")</f>
        <v>View Profile</v>
      </c>
      <c r="B232" t="s">
        <v>2441</v>
      </c>
      <c r="C232" t="s">
        <v>19</v>
      </c>
      <c r="D232" t="s">
        <v>2442</v>
      </c>
      <c r="E232" t="s">
        <v>38</v>
      </c>
      <c r="F232" t="s">
        <v>2443</v>
      </c>
      <c r="G232" t="s">
        <v>2444</v>
      </c>
      <c r="H232" t="s">
        <v>2445</v>
      </c>
      <c r="I232" t="s">
        <v>2446</v>
      </c>
      <c r="J232" t="s">
        <v>38</v>
      </c>
      <c r="K232" t="s">
        <v>2447</v>
      </c>
      <c r="L232" t="s">
        <v>38</v>
      </c>
      <c r="M232" t="s">
        <v>64</v>
      </c>
      <c r="N232" t="s">
        <v>19</v>
      </c>
      <c r="O232" t="s">
        <v>2448</v>
      </c>
      <c r="P232" t="s">
        <v>2449</v>
      </c>
      <c r="Q232" t="s">
        <v>38</v>
      </c>
      <c r="R232" t="s">
        <v>38</v>
      </c>
    </row>
    <row r="233" spans="1:18">
      <c r="A233" s="2" t="str">
        <f>HYPERLINK("https://investorlist.com/investor/sig-asia-investment-fund?ref=Excel_ViewProfile","View Profile")</f>
        <v>View Profile</v>
      </c>
      <c r="B233" t="s">
        <v>2450</v>
      </c>
      <c r="C233" t="s">
        <v>19</v>
      </c>
      <c r="D233" t="s">
        <v>2451</v>
      </c>
      <c r="E233" t="s">
        <v>38</v>
      </c>
      <c r="F233" t="s">
        <v>210</v>
      </c>
      <c r="G233" t="s">
        <v>2452</v>
      </c>
      <c r="H233" t="s">
        <v>38</v>
      </c>
      <c r="I233" t="s">
        <v>2453</v>
      </c>
      <c r="J233" t="s">
        <v>2454</v>
      </c>
      <c r="K233" t="s">
        <v>2455</v>
      </c>
      <c r="L233">
        <v>0</v>
      </c>
      <c r="M233" t="s">
        <v>2025</v>
      </c>
      <c r="N233" t="s">
        <v>19</v>
      </c>
      <c r="O233" t="s">
        <v>2456</v>
      </c>
      <c r="P233" t="s">
        <v>2457</v>
      </c>
      <c r="Q233" t="s">
        <v>2458</v>
      </c>
      <c r="R233" t="s">
        <v>38</v>
      </c>
    </row>
    <row r="234" spans="1:18">
      <c r="A234" s="2" t="str">
        <f>HYPERLINK("https://investorlist.com/investor/orzon-ventures?ref=Excel_ViewProfile","View Profile")</f>
        <v>View Profile</v>
      </c>
      <c r="B234" t="s">
        <v>2459</v>
      </c>
      <c r="C234" t="s">
        <v>19</v>
      </c>
      <c r="D234" t="s">
        <v>2460</v>
      </c>
      <c r="E234" t="s">
        <v>606</v>
      </c>
      <c r="F234" t="s">
        <v>210</v>
      </c>
      <c r="G234" t="s">
        <v>2461</v>
      </c>
      <c r="H234" t="s">
        <v>2462</v>
      </c>
      <c r="I234" t="s">
        <v>2463</v>
      </c>
      <c r="J234" t="s">
        <v>38</v>
      </c>
      <c r="K234" t="s">
        <v>2464</v>
      </c>
      <c r="L234">
        <v>2021</v>
      </c>
      <c r="M234" t="s">
        <v>1571</v>
      </c>
      <c r="N234" t="s">
        <v>19</v>
      </c>
      <c r="O234" t="s">
        <v>2465</v>
      </c>
      <c r="P234" t="s">
        <v>1643</v>
      </c>
      <c r="Q234" t="s">
        <v>2466</v>
      </c>
      <c r="R234" t="s">
        <v>2467</v>
      </c>
    </row>
    <row r="235" spans="1:18">
      <c r="A235" s="2" t="str">
        <f>HYPERLINK("https://investorlist.com/investor/azer-capital?ref=Excel_ViewProfile","View Profile")</f>
        <v>View Profile</v>
      </c>
      <c r="B235" t="s">
        <v>2468</v>
      </c>
      <c r="C235" t="s">
        <v>19</v>
      </c>
      <c r="D235" t="s">
        <v>38</v>
      </c>
      <c r="E235" t="s">
        <v>38</v>
      </c>
      <c r="F235" t="s">
        <v>585</v>
      </c>
      <c r="G235" t="s">
        <v>2469</v>
      </c>
      <c r="H235" t="s">
        <v>38</v>
      </c>
      <c r="I235" t="s">
        <v>2470</v>
      </c>
      <c r="J235" t="s">
        <v>38</v>
      </c>
      <c r="K235" t="s">
        <v>2471</v>
      </c>
      <c r="L235">
        <v>2017</v>
      </c>
      <c r="M235" t="s">
        <v>2472</v>
      </c>
      <c r="N235" t="s">
        <v>487</v>
      </c>
      <c r="O235" t="s">
        <v>2473</v>
      </c>
      <c r="P235" t="s">
        <v>2474</v>
      </c>
      <c r="Q235" t="s">
        <v>2475</v>
      </c>
      <c r="R235" t="s">
        <v>2476</v>
      </c>
    </row>
    <row r="236" spans="1:18">
      <c r="A236" s="2" t="str">
        <f>HYPERLINK("https://investorlist.com/investor/unicorn-factory-ventures?ref=Excel_ViewProfile","View Profile")</f>
        <v>View Profile</v>
      </c>
      <c r="B236" t="s">
        <v>2477</v>
      </c>
      <c r="C236" t="s">
        <v>19</v>
      </c>
      <c r="D236" t="s">
        <v>92</v>
      </c>
      <c r="E236" t="s">
        <v>38</v>
      </c>
      <c r="F236" t="s">
        <v>22</v>
      </c>
      <c r="G236" t="s">
        <v>2478</v>
      </c>
      <c r="H236" t="s">
        <v>2479</v>
      </c>
      <c r="I236" t="s">
        <v>2480</v>
      </c>
      <c r="J236" t="s">
        <v>38</v>
      </c>
      <c r="K236" t="s">
        <v>2481</v>
      </c>
      <c r="L236">
        <v>2022</v>
      </c>
      <c r="M236" t="s">
        <v>2482</v>
      </c>
      <c r="N236" t="s">
        <v>487</v>
      </c>
      <c r="O236" t="s">
        <v>2483</v>
      </c>
      <c r="P236" t="s">
        <v>2484</v>
      </c>
      <c r="Q236" t="s">
        <v>2485</v>
      </c>
      <c r="R236" t="s">
        <v>2486</v>
      </c>
    </row>
    <row r="237" spans="1:18">
      <c r="A237" s="2" t="str">
        <f>HYPERLINK("https://investorlist.com/investor/moonedge?ref=Excel_ViewProfile","View Profile")</f>
        <v>View Profile</v>
      </c>
      <c r="B237" t="s">
        <v>2487</v>
      </c>
      <c r="C237" t="s">
        <v>19</v>
      </c>
      <c r="D237" t="s">
        <v>38</v>
      </c>
      <c r="E237" t="s">
        <v>38</v>
      </c>
      <c r="F237" t="s">
        <v>2488</v>
      </c>
      <c r="G237" t="s">
        <v>2489</v>
      </c>
      <c r="H237" t="s">
        <v>38</v>
      </c>
      <c r="I237" t="s">
        <v>2490</v>
      </c>
      <c r="J237" t="s">
        <v>38</v>
      </c>
      <c r="K237" t="s">
        <v>2491</v>
      </c>
      <c r="L237">
        <v>2021</v>
      </c>
      <c r="M237" t="s">
        <v>2492</v>
      </c>
      <c r="N237" t="s">
        <v>487</v>
      </c>
      <c r="O237" t="s">
        <v>2493</v>
      </c>
      <c r="P237" t="s">
        <v>2494</v>
      </c>
      <c r="Q237" t="s">
        <v>2495</v>
      </c>
      <c r="R237" t="s">
        <v>2496</v>
      </c>
    </row>
    <row r="238" spans="1:18">
      <c r="A238" s="2" t="str">
        <f>HYPERLINK("https://investorlist.com/investor/decart-ventures?ref=Excel_ViewProfile","View Profile")</f>
        <v>View Profile</v>
      </c>
      <c r="B238" t="s">
        <v>2497</v>
      </c>
      <c r="C238" t="s">
        <v>19</v>
      </c>
      <c r="D238" t="s">
        <v>2498</v>
      </c>
      <c r="E238" t="s">
        <v>38</v>
      </c>
      <c r="F238" t="s">
        <v>2443</v>
      </c>
      <c r="G238" t="s">
        <v>2499</v>
      </c>
      <c r="H238" t="s">
        <v>38</v>
      </c>
      <c r="I238" t="s">
        <v>2500</v>
      </c>
      <c r="J238" t="s">
        <v>38</v>
      </c>
      <c r="K238" t="s">
        <v>2501</v>
      </c>
      <c r="L238">
        <v>2018</v>
      </c>
      <c r="M238" t="s">
        <v>737</v>
      </c>
      <c r="N238" t="s">
        <v>19</v>
      </c>
      <c r="O238" t="s">
        <v>2502</v>
      </c>
      <c r="P238" t="s">
        <v>2503</v>
      </c>
      <c r="Q238" t="s">
        <v>2504</v>
      </c>
      <c r="R238" t="s">
        <v>2505</v>
      </c>
    </row>
    <row r="239" spans="1:18">
      <c r="A239" s="2" t="str">
        <f>HYPERLINK("https://investorlist.com/investor/hashed-emergent?ref=Excel_ViewProfile","View Profile")</f>
        <v>View Profile</v>
      </c>
      <c r="B239" t="s">
        <v>2506</v>
      </c>
      <c r="C239" t="s">
        <v>19</v>
      </c>
      <c r="D239" t="s">
        <v>2507</v>
      </c>
      <c r="E239" t="s">
        <v>38</v>
      </c>
      <c r="F239" t="s">
        <v>572</v>
      </c>
      <c r="G239" t="s">
        <v>2508</v>
      </c>
      <c r="H239" t="s">
        <v>38</v>
      </c>
      <c r="I239" t="s">
        <v>2509</v>
      </c>
      <c r="J239" t="s">
        <v>38</v>
      </c>
      <c r="K239" t="s">
        <v>2510</v>
      </c>
      <c r="L239">
        <v>2021</v>
      </c>
      <c r="M239" t="s">
        <v>2492</v>
      </c>
      <c r="N239" t="s">
        <v>487</v>
      </c>
      <c r="O239" t="s">
        <v>2511</v>
      </c>
      <c r="P239" t="s">
        <v>2512</v>
      </c>
      <c r="Q239" t="s">
        <v>2513</v>
      </c>
      <c r="R239" t="s">
        <v>2514</v>
      </c>
    </row>
    <row r="240" spans="1:18">
      <c r="A240" s="2" t="str">
        <f>HYPERLINK("https://investorlist.com/investor/unitus-equity-fund?ref=Excel_ViewProfile","View Profile")</f>
        <v>View Profile</v>
      </c>
      <c r="B240" t="s">
        <v>2515</v>
      </c>
      <c r="C240" t="s">
        <v>181</v>
      </c>
      <c r="D240" t="s">
        <v>2516</v>
      </c>
      <c r="E240" t="s">
        <v>2517</v>
      </c>
      <c r="F240" t="s">
        <v>198</v>
      </c>
      <c r="G240" t="s">
        <v>2518</v>
      </c>
      <c r="H240" t="s">
        <v>38</v>
      </c>
      <c r="I240" t="s">
        <v>2519</v>
      </c>
      <c r="J240" t="s">
        <v>38</v>
      </c>
      <c r="K240" t="s">
        <v>2520</v>
      </c>
      <c r="L240" t="s">
        <v>38</v>
      </c>
      <c r="M240" t="s">
        <v>2134</v>
      </c>
      <c r="N240" t="s">
        <v>217</v>
      </c>
      <c r="O240" t="s">
        <v>2521</v>
      </c>
      <c r="P240" t="s">
        <v>2522</v>
      </c>
      <c r="Q240" t="s">
        <v>38</v>
      </c>
      <c r="R240" t="s">
        <v>38</v>
      </c>
    </row>
    <row r="241" spans="1:18">
      <c r="A241" s="2" t="str">
        <f>HYPERLINK("https://investorlist.com/investor/gulf-ventures-capital?ref=Excel_ViewProfile","View Profile")</f>
        <v>View Profile</v>
      </c>
      <c r="B241" t="s">
        <v>2523</v>
      </c>
      <c r="C241" t="s">
        <v>19</v>
      </c>
      <c r="D241" t="s">
        <v>2524</v>
      </c>
      <c r="E241" t="s">
        <v>38</v>
      </c>
      <c r="F241" t="s">
        <v>517</v>
      </c>
      <c r="G241" t="s">
        <v>2525</v>
      </c>
      <c r="H241" t="s">
        <v>38</v>
      </c>
      <c r="I241" t="s">
        <v>2526</v>
      </c>
      <c r="J241" t="s">
        <v>2527</v>
      </c>
      <c r="K241" t="s">
        <v>2528</v>
      </c>
      <c r="L241">
        <v>2010</v>
      </c>
      <c r="M241" t="s">
        <v>64</v>
      </c>
      <c r="N241" t="s">
        <v>19</v>
      </c>
      <c r="O241" t="s">
        <v>177</v>
      </c>
      <c r="P241" t="s">
        <v>2529</v>
      </c>
      <c r="Q241" t="s">
        <v>2530</v>
      </c>
      <c r="R241" t="s">
        <v>2531</v>
      </c>
    </row>
    <row r="242" spans="1:18">
      <c r="A242" s="2" t="str">
        <f>HYPERLINK("https://investorlist.com/investor/brain-too-free-ventures?ref=Excel_ViewProfile","View Profile")</f>
        <v>View Profile</v>
      </c>
      <c r="B242" t="s">
        <v>2532</v>
      </c>
      <c r="C242" t="s">
        <v>19</v>
      </c>
      <c r="D242" t="s">
        <v>2533</v>
      </c>
      <c r="E242" t="s">
        <v>607</v>
      </c>
      <c r="F242" t="s">
        <v>210</v>
      </c>
      <c r="G242" t="s">
        <v>2534</v>
      </c>
      <c r="H242" t="s">
        <v>38</v>
      </c>
      <c r="I242" t="s">
        <v>2535</v>
      </c>
      <c r="J242" t="s">
        <v>2536</v>
      </c>
      <c r="K242" t="s">
        <v>2537</v>
      </c>
      <c r="L242" t="s">
        <v>38</v>
      </c>
      <c r="M242" t="s">
        <v>1739</v>
      </c>
      <c r="N242" t="s">
        <v>19</v>
      </c>
      <c r="O242" t="s">
        <v>2538</v>
      </c>
      <c r="P242" t="s">
        <v>2539</v>
      </c>
      <c r="Q242" t="s">
        <v>38</v>
      </c>
      <c r="R242" t="s">
        <v>38</v>
      </c>
    </row>
    <row r="243" spans="1:18">
      <c r="A243" s="2" t="str">
        <f>HYPERLINK("https://investorlist.com/investor/rsquared-global-ventures-pte-ltd?ref=Excel_ViewProfile","View Profile")</f>
        <v>View Profile</v>
      </c>
      <c r="B243" t="s">
        <v>2540</v>
      </c>
      <c r="C243" t="s">
        <v>19</v>
      </c>
      <c r="D243" t="s">
        <v>2541</v>
      </c>
      <c r="E243" t="s">
        <v>38</v>
      </c>
      <c r="F243" t="s">
        <v>210</v>
      </c>
      <c r="G243" t="s">
        <v>2542</v>
      </c>
      <c r="H243" t="s">
        <v>2543</v>
      </c>
      <c r="I243" t="s">
        <v>2544</v>
      </c>
      <c r="J243" t="s">
        <v>38</v>
      </c>
      <c r="K243" t="s">
        <v>2545</v>
      </c>
      <c r="L243">
        <v>2020</v>
      </c>
      <c r="M243" t="s">
        <v>2134</v>
      </c>
      <c r="N243" t="s">
        <v>19</v>
      </c>
      <c r="O243" t="s">
        <v>2546</v>
      </c>
      <c r="P243" t="s">
        <v>1634</v>
      </c>
      <c r="Q243" t="s">
        <v>2547</v>
      </c>
      <c r="R243" t="s">
        <v>2548</v>
      </c>
    </row>
    <row r="244" spans="1:18">
      <c r="A244" s="2" t="str">
        <f>HYPERLINK("https://investorlist.com/investor/songhyun-investment?ref=Excel_ViewProfile","View Profile")</f>
        <v>View Profile</v>
      </c>
      <c r="B244" t="s">
        <v>2549</v>
      </c>
      <c r="C244" t="s">
        <v>19</v>
      </c>
      <c r="D244" t="s">
        <v>2550</v>
      </c>
      <c r="E244" t="s">
        <v>595</v>
      </c>
      <c r="F244" t="s">
        <v>596</v>
      </c>
      <c r="G244" t="s">
        <v>2551</v>
      </c>
      <c r="H244" t="s">
        <v>38</v>
      </c>
      <c r="I244" t="s">
        <v>38</v>
      </c>
      <c r="J244" t="s">
        <v>2552</v>
      </c>
      <c r="K244" t="s">
        <v>2553</v>
      </c>
      <c r="L244">
        <v>2012</v>
      </c>
      <c r="M244" t="s">
        <v>537</v>
      </c>
      <c r="N244" t="s">
        <v>19</v>
      </c>
      <c r="O244" t="s">
        <v>2554</v>
      </c>
      <c r="P244" t="s">
        <v>2555</v>
      </c>
      <c r="Q244" t="s">
        <v>2556</v>
      </c>
      <c r="R244" t="s">
        <v>2557</v>
      </c>
    </row>
    <row r="245" spans="1:18">
      <c r="A245" s="2" t="str">
        <f>HYPERLINK("https://investorlist.com/investor/strive?ref=Excel_ViewProfile","View Profile")</f>
        <v>View Profile</v>
      </c>
      <c r="B245" t="s">
        <v>2558</v>
      </c>
      <c r="C245" t="s">
        <v>19</v>
      </c>
      <c r="D245" t="s">
        <v>2559</v>
      </c>
      <c r="E245" t="s">
        <v>783</v>
      </c>
      <c r="F245" t="s">
        <v>784</v>
      </c>
      <c r="G245" t="s">
        <v>2560</v>
      </c>
      <c r="H245" t="s">
        <v>2561</v>
      </c>
      <c r="I245" t="s">
        <v>2562</v>
      </c>
      <c r="J245" t="s">
        <v>38</v>
      </c>
      <c r="K245" t="s">
        <v>2563</v>
      </c>
      <c r="L245">
        <v>2011</v>
      </c>
      <c r="M245" t="s">
        <v>1571</v>
      </c>
      <c r="N245" t="s">
        <v>19</v>
      </c>
      <c r="O245" t="s">
        <v>2564</v>
      </c>
      <c r="P245" t="s">
        <v>1269</v>
      </c>
      <c r="Q245" t="s">
        <v>2565</v>
      </c>
      <c r="R245" t="s">
        <v>2566</v>
      </c>
    </row>
    <row r="246" spans="1:18">
      <c r="A246" s="2" t="str">
        <f>HYPERLINK("https://investorlist.com/investor/amaana-capital?ref=Excel_ViewProfile","View Profile")</f>
        <v>View Profile</v>
      </c>
      <c r="B246" t="s">
        <v>2567</v>
      </c>
      <c r="C246" t="s">
        <v>19</v>
      </c>
      <c r="D246" t="s">
        <v>38</v>
      </c>
      <c r="E246" t="s">
        <v>38</v>
      </c>
      <c r="F246" t="s">
        <v>198</v>
      </c>
      <c r="G246" t="s">
        <v>2568</v>
      </c>
      <c r="H246" t="s">
        <v>38</v>
      </c>
      <c r="I246" t="s">
        <v>2569</v>
      </c>
      <c r="J246" t="s">
        <v>2570</v>
      </c>
      <c r="K246" t="s">
        <v>2571</v>
      </c>
      <c r="L246">
        <v>0</v>
      </c>
      <c r="M246" t="s">
        <v>52</v>
      </c>
      <c r="N246" t="s">
        <v>19</v>
      </c>
      <c r="O246" t="s">
        <v>2572</v>
      </c>
      <c r="P246" t="s">
        <v>2573</v>
      </c>
      <c r="Q246" t="s">
        <v>2574</v>
      </c>
      <c r="R246" t="s">
        <v>2575</v>
      </c>
    </row>
    <row r="247" spans="1:18">
      <c r="A247" s="2" t="str">
        <f>HYPERLINK("https://investorlist.com/investor/cordoba-ventures?ref=Excel_ViewProfile","View Profile")</f>
        <v>View Profile</v>
      </c>
      <c r="B247" t="s">
        <v>2576</v>
      </c>
      <c r="C247" t="s">
        <v>19</v>
      </c>
      <c r="D247" t="s">
        <v>2577</v>
      </c>
      <c r="E247" t="s">
        <v>846</v>
      </c>
      <c r="F247" t="s">
        <v>806</v>
      </c>
      <c r="G247" t="s">
        <v>2578</v>
      </c>
      <c r="H247" t="s">
        <v>38</v>
      </c>
      <c r="I247" t="s">
        <v>2579</v>
      </c>
      <c r="J247" t="s">
        <v>38</v>
      </c>
      <c r="K247" t="s">
        <v>2580</v>
      </c>
      <c r="L247">
        <v>2019</v>
      </c>
      <c r="M247" t="s">
        <v>600</v>
      </c>
      <c r="N247" t="s">
        <v>19</v>
      </c>
      <c r="O247" t="s">
        <v>2581</v>
      </c>
      <c r="P247" t="s">
        <v>2582</v>
      </c>
      <c r="Q247" t="s">
        <v>2583</v>
      </c>
      <c r="R247" t="s">
        <v>38</v>
      </c>
    </row>
    <row r="248" spans="1:18">
      <c r="A248" s="2" t="str">
        <f>HYPERLINK("https://investorlist.com/investor/enrichers-investment-group?ref=Excel_ViewProfile","View Profile")</f>
        <v>View Profile</v>
      </c>
      <c r="B248" t="s">
        <v>2584</v>
      </c>
      <c r="C248" t="s">
        <v>136</v>
      </c>
      <c r="D248" t="s">
        <v>2585</v>
      </c>
      <c r="E248" t="s">
        <v>805</v>
      </c>
      <c r="F248" t="s">
        <v>806</v>
      </c>
      <c r="G248" t="s">
        <v>2586</v>
      </c>
      <c r="H248" t="s">
        <v>38</v>
      </c>
      <c r="I248" t="s">
        <v>2587</v>
      </c>
      <c r="J248" t="s">
        <v>2588</v>
      </c>
      <c r="K248" t="s">
        <v>2589</v>
      </c>
      <c r="L248">
        <v>2011</v>
      </c>
      <c r="M248" t="s">
        <v>537</v>
      </c>
      <c r="N248" t="s">
        <v>2590</v>
      </c>
      <c r="O248" t="s">
        <v>2591</v>
      </c>
      <c r="P248" t="s">
        <v>623</v>
      </c>
      <c r="Q248" t="s">
        <v>2592</v>
      </c>
      <c r="R248" t="s">
        <v>38</v>
      </c>
    </row>
    <row r="249" spans="1:18">
      <c r="A249" s="2" t="str">
        <f>HYPERLINK("https://investorlist.com/investor/abdulla-hamad-al-ghurair-investment?ref=Excel_ViewProfile","View Profile")</f>
        <v>View Profile</v>
      </c>
      <c r="B249" t="s">
        <v>2593</v>
      </c>
      <c r="C249" t="s">
        <v>136</v>
      </c>
      <c r="D249" t="s">
        <v>2594</v>
      </c>
      <c r="E249" t="s">
        <v>71</v>
      </c>
      <c r="F249" t="s">
        <v>22</v>
      </c>
      <c r="G249" t="s">
        <v>2595</v>
      </c>
      <c r="H249" t="s">
        <v>38</v>
      </c>
      <c r="I249" t="s">
        <v>2596</v>
      </c>
      <c r="J249" t="s">
        <v>2597</v>
      </c>
      <c r="K249" t="s">
        <v>2598</v>
      </c>
      <c r="L249">
        <v>1995</v>
      </c>
      <c r="M249" t="s">
        <v>1302</v>
      </c>
      <c r="N249" t="s">
        <v>167</v>
      </c>
      <c r="O249" t="s">
        <v>2599</v>
      </c>
      <c r="P249" t="s">
        <v>2600</v>
      </c>
      <c r="Q249" t="s">
        <v>2601</v>
      </c>
      <c r="R249" t="s">
        <v>2602</v>
      </c>
    </row>
    <row r="250" spans="1:18">
      <c r="A250" s="2" t="str">
        <f>HYPERLINK("https://investorlist.com/investor/marya-investments?ref=Excel_ViewProfile","View Profile")</f>
        <v>View Profile</v>
      </c>
      <c r="B250" t="s">
        <v>2603</v>
      </c>
      <c r="C250" t="s">
        <v>136</v>
      </c>
      <c r="D250" t="s">
        <v>2604</v>
      </c>
      <c r="E250" t="s">
        <v>21</v>
      </c>
      <c r="F250" t="s">
        <v>22</v>
      </c>
      <c r="G250" t="s">
        <v>2605</v>
      </c>
      <c r="H250" t="s">
        <v>38</v>
      </c>
      <c r="I250" t="s">
        <v>2606</v>
      </c>
      <c r="J250" t="s">
        <v>2607</v>
      </c>
      <c r="K250" t="s">
        <v>2608</v>
      </c>
      <c r="L250">
        <v>0</v>
      </c>
      <c r="M250" t="s">
        <v>130</v>
      </c>
      <c r="N250" t="s">
        <v>2609</v>
      </c>
      <c r="O250" t="s">
        <v>2610</v>
      </c>
      <c r="P250" t="s">
        <v>2611</v>
      </c>
      <c r="Q250" t="s">
        <v>2612</v>
      </c>
      <c r="R250" t="s">
        <v>2613</v>
      </c>
    </row>
    <row r="251" spans="1:18">
      <c r="A251" s="2" t="str">
        <f>HYPERLINK("https://investorlist.com/investor/n-a-88342687?ref=Excel_ViewProfile","View Profile")</f>
        <v>View Profile</v>
      </c>
      <c r="B251" t="s">
        <v>2614</v>
      </c>
      <c r="C251" t="s">
        <v>1487</v>
      </c>
      <c r="D251" t="s">
        <v>2615</v>
      </c>
      <c r="E251" t="s">
        <v>2616</v>
      </c>
      <c r="F251" t="s">
        <v>744</v>
      </c>
      <c r="G251" t="s">
        <v>2617</v>
      </c>
      <c r="H251" t="s">
        <v>2618</v>
      </c>
      <c r="I251" t="s">
        <v>2619</v>
      </c>
      <c r="J251" t="s">
        <v>2620</v>
      </c>
      <c r="K251" t="s">
        <v>2621</v>
      </c>
      <c r="L251">
        <v>2011</v>
      </c>
      <c r="M251" t="s">
        <v>677</v>
      </c>
      <c r="N251" t="s">
        <v>131</v>
      </c>
      <c r="O251" t="s">
        <v>2622</v>
      </c>
      <c r="P251" t="s">
        <v>2623</v>
      </c>
      <c r="Q251" t="s">
        <v>2624</v>
      </c>
      <c r="R251" t="s">
        <v>2625</v>
      </c>
    </row>
    <row r="252" spans="1:18">
      <c r="A252" s="2" t="str">
        <f>HYPERLINK("https://investorlist.com/investor/dotzero-ventures?ref=Excel_ViewProfile","View Profile")</f>
        <v>View Profile</v>
      </c>
      <c r="B252" t="s">
        <v>2626</v>
      </c>
      <c r="C252" t="s">
        <v>19</v>
      </c>
      <c r="D252" t="s">
        <v>2627</v>
      </c>
      <c r="E252" t="s">
        <v>846</v>
      </c>
      <c r="F252" t="s">
        <v>806</v>
      </c>
      <c r="G252" t="s">
        <v>2628</v>
      </c>
      <c r="H252" t="s">
        <v>38</v>
      </c>
      <c r="I252" t="s">
        <v>2629</v>
      </c>
      <c r="J252" t="s">
        <v>38</v>
      </c>
      <c r="K252" t="s">
        <v>2630</v>
      </c>
      <c r="L252">
        <v>2013</v>
      </c>
      <c r="M252" t="s">
        <v>863</v>
      </c>
      <c r="N252" t="s">
        <v>19</v>
      </c>
      <c r="O252" t="s">
        <v>2631</v>
      </c>
      <c r="P252" t="s">
        <v>812</v>
      </c>
      <c r="Q252" t="s">
        <v>2632</v>
      </c>
      <c r="R252" t="s">
        <v>2633</v>
      </c>
    </row>
    <row r="253" spans="1:18">
      <c r="A253" s="2" t="str">
        <f>HYPERLINK("https://investorlist.com/investor/panda-capital?ref=Excel_ViewProfile","View Profile")</f>
        <v>View Profile</v>
      </c>
      <c r="B253" t="s">
        <v>2634</v>
      </c>
      <c r="C253" t="s">
        <v>19</v>
      </c>
      <c r="D253" t="s">
        <v>38</v>
      </c>
      <c r="E253" t="s">
        <v>38</v>
      </c>
      <c r="F253" t="s">
        <v>225</v>
      </c>
      <c r="G253" t="s">
        <v>2635</v>
      </c>
      <c r="H253" t="s">
        <v>38</v>
      </c>
      <c r="I253" t="s">
        <v>2636</v>
      </c>
      <c r="J253" t="s">
        <v>38</v>
      </c>
      <c r="K253" t="s">
        <v>2637</v>
      </c>
      <c r="L253">
        <v>2021</v>
      </c>
      <c r="M253" t="s">
        <v>64</v>
      </c>
      <c r="N253" t="s">
        <v>487</v>
      </c>
      <c r="O253" t="s">
        <v>2638</v>
      </c>
      <c r="P253" t="s">
        <v>2639</v>
      </c>
      <c r="Q253" t="s">
        <v>2640</v>
      </c>
      <c r="R253" t="s">
        <v>2641</v>
      </c>
    </row>
    <row r="254" spans="1:18">
      <c r="A254" s="2" t="str">
        <f>HYPERLINK("https://investorlist.com/investor/riyadh-angels?ref=Excel_ViewProfile","View Profile")</f>
        <v>View Profile</v>
      </c>
      <c r="B254" t="s">
        <v>2642</v>
      </c>
      <c r="C254" t="s">
        <v>150</v>
      </c>
      <c r="D254" t="s">
        <v>2643</v>
      </c>
      <c r="E254" t="s">
        <v>38</v>
      </c>
      <c r="F254" t="s">
        <v>301</v>
      </c>
      <c r="G254" t="s">
        <v>2644</v>
      </c>
      <c r="H254" t="s">
        <v>2645</v>
      </c>
      <c r="I254" t="s">
        <v>2646</v>
      </c>
      <c r="J254" t="s">
        <v>38</v>
      </c>
      <c r="K254" t="s">
        <v>2647</v>
      </c>
      <c r="L254">
        <v>2019</v>
      </c>
      <c r="M254" t="s">
        <v>863</v>
      </c>
      <c r="N254" t="s">
        <v>19</v>
      </c>
      <c r="O254" t="s">
        <v>2648</v>
      </c>
      <c r="P254" t="s">
        <v>2649</v>
      </c>
      <c r="Q254" t="s">
        <v>2650</v>
      </c>
      <c r="R254" t="s">
        <v>2651</v>
      </c>
    </row>
    <row r="255" spans="1:18">
      <c r="A255" s="2" t="str">
        <f>HYPERLINK("https://investorlist.com/investor/asia-impact?ref=Excel_ViewProfile","View Profile")</f>
        <v>View Profile</v>
      </c>
      <c r="B255" t="s">
        <v>2652</v>
      </c>
      <c r="C255" t="s">
        <v>136</v>
      </c>
      <c r="D255" t="s">
        <v>38</v>
      </c>
      <c r="E255" t="s">
        <v>38</v>
      </c>
      <c r="F255" t="s">
        <v>572</v>
      </c>
      <c r="G255" t="s">
        <v>2653</v>
      </c>
      <c r="H255" t="s">
        <v>38</v>
      </c>
      <c r="I255" t="s">
        <v>2654</v>
      </c>
      <c r="J255" t="s">
        <v>38</v>
      </c>
      <c r="K255" t="s">
        <v>2655</v>
      </c>
      <c r="L255">
        <v>0</v>
      </c>
      <c r="M255" t="s">
        <v>737</v>
      </c>
      <c r="N255" t="s">
        <v>131</v>
      </c>
      <c r="O255" t="s">
        <v>2656</v>
      </c>
      <c r="P255" t="s">
        <v>2116</v>
      </c>
      <c r="Q255" t="s">
        <v>2657</v>
      </c>
      <c r="R255" t="s">
        <v>38</v>
      </c>
    </row>
    <row r="256" spans="1:18">
      <c r="A256" s="2" t="str">
        <f>HYPERLINK("https://investorlist.com/investor/geely-capital?ref=Excel_ViewProfile","View Profile")</f>
        <v>View Profile</v>
      </c>
      <c r="B256" t="s">
        <v>2658</v>
      </c>
      <c r="C256" t="s">
        <v>530</v>
      </c>
      <c r="D256" t="s">
        <v>2659</v>
      </c>
      <c r="E256" t="s">
        <v>224</v>
      </c>
      <c r="F256" t="s">
        <v>225</v>
      </c>
      <c r="G256" t="s">
        <v>2660</v>
      </c>
      <c r="H256" t="s">
        <v>38</v>
      </c>
      <c r="I256" t="s">
        <v>2661</v>
      </c>
      <c r="J256" t="s">
        <v>38</v>
      </c>
      <c r="K256" t="s">
        <v>2662</v>
      </c>
      <c r="L256" t="s">
        <v>38</v>
      </c>
      <c r="M256" t="s">
        <v>1302</v>
      </c>
      <c r="N256" t="s">
        <v>217</v>
      </c>
      <c r="O256" t="s">
        <v>2663</v>
      </c>
      <c r="P256" t="s">
        <v>2664</v>
      </c>
      <c r="Q256" t="s">
        <v>38</v>
      </c>
      <c r="R256" t="s">
        <v>38</v>
      </c>
    </row>
    <row r="257" spans="1:18">
      <c r="A257" s="2" t="str">
        <f>HYPERLINK("https://investorlist.com/investor/ifc-asset-management-company?ref=Excel_ViewProfile","View Profile")</f>
        <v>View Profile</v>
      </c>
      <c r="B257" t="s">
        <v>2665</v>
      </c>
      <c r="C257" t="s">
        <v>136</v>
      </c>
      <c r="D257" t="s">
        <v>2666</v>
      </c>
      <c r="E257" t="s">
        <v>337</v>
      </c>
      <c r="F257" t="s">
        <v>198</v>
      </c>
      <c r="G257" t="s">
        <v>2667</v>
      </c>
      <c r="H257" t="s">
        <v>2668</v>
      </c>
      <c r="I257" t="s">
        <v>2669</v>
      </c>
      <c r="J257" t="s">
        <v>2670</v>
      </c>
      <c r="K257" t="s">
        <v>2671</v>
      </c>
      <c r="L257">
        <v>2009</v>
      </c>
      <c r="M257" t="s">
        <v>282</v>
      </c>
      <c r="N257" t="s">
        <v>2672</v>
      </c>
      <c r="O257" t="s">
        <v>2673</v>
      </c>
      <c r="P257" t="s">
        <v>2674</v>
      </c>
      <c r="Q257" t="s">
        <v>2675</v>
      </c>
      <c r="R257" t="s">
        <v>2676</v>
      </c>
    </row>
    <row r="258" spans="1:18">
      <c r="A258" s="2" t="str">
        <f>HYPERLINK("https://investorlist.com/investor/sixteenth-street-capital?ref=Excel_ViewProfile","View Profile")</f>
        <v>View Profile</v>
      </c>
      <c r="B258" t="s">
        <v>2677</v>
      </c>
      <c r="C258" t="s">
        <v>136</v>
      </c>
      <c r="D258" t="s">
        <v>2678</v>
      </c>
      <c r="E258" t="s">
        <v>38</v>
      </c>
      <c r="F258" t="s">
        <v>210</v>
      </c>
      <c r="G258" t="s">
        <v>2679</v>
      </c>
      <c r="H258" t="s">
        <v>2680</v>
      </c>
      <c r="I258" t="s">
        <v>2681</v>
      </c>
      <c r="J258" t="s">
        <v>2682</v>
      </c>
      <c r="K258" t="s">
        <v>2683</v>
      </c>
      <c r="L258">
        <v>2017</v>
      </c>
      <c r="M258" t="s">
        <v>1302</v>
      </c>
      <c r="N258" t="s">
        <v>217</v>
      </c>
      <c r="O258" t="s">
        <v>177</v>
      </c>
      <c r="P258" t="s">
        <v>1552</v>
      </c>
      <c r="Q258" t="s">
        <v>2684</v>
      </c>
      <c r="R258" t="s">
        <v>38</v>
      </c>
    </row>
    <row r="259" spans="1:18">
      <c r="A259" s="2" t="str">
        <f>HYPERLINK("https://investorlist.com/investor/crescent-enterprises?ref=Excel_ViewProfile","View Profile")</f>
        <v>View Profile</v>
      </c>
      <c r="B259" t="s">
        <v>2685</v>
      </c>
      <c r="C259" t="s">
        <v>530</v>
      </c>
      <c r="D259" t="s">
        <v>2686</v>
      </c>
      <c r="E259" t="s">
        <v>758</v>
      </c>
      <c r="F259" t="s">
        <v>22</v>
      </c>
      <c r="G259" t="s">
        <v>2687</v>
      </c>
      <c r="H259" t="s">
        <v>2688</v>
      </c>
      <c r="I259" t="s">
        <v>2689</v>
      </c>
      <c r="J259" t="s">
        <v>2690</v>
      </c>
      <c r="K259" t="s">
        <v>2691</v>
      </c>
      <c r="L259">
        <v>2007</v>
      </c>
      <c r="M259" t="s">
        <v>2692</v>
      </c>
      <c r="N259" t="s">
        <v>2693</v>
      </c>
      <c r="O259" t="s">
        <v>2694</v>
      </c>
      <c r="P259" t="s">
        <v>2695</v>
      </c>
      <c r="Q259" t="s">
        <v>2696</v>
      </c>
      <c r="R259" t="s">
        <v>2697</v>
      </c>
    </row>
    <row r="260" spans="1:18">
      <c r="A260" s="2" t="str">
        <f>HYPERLINK("https://investorlist.com/investor/cdh-investments?ref=Excel_ViewProfile","View Profile")</f>
        <v>View Profile</v>
      </c>
      <c r="B260" t="s">
        <v>2698</v>
      </c>
      <c r="C260" t="s">
        <v>181</v>
      </c>
      <c r="D260" t="s">
        <v>2699</v>
      </c>
      <c r="E260" t="s">
        <v>1102</v>
      </c>
      <c r="F260" t="s">
        <v>225</v>
      </c>
      <c r="G260" t="s">
        <v>2700</v>
      </c>
      <c r="H260" t="s">
        <v>2701</v>
      </c>
      <c r="I260" t="s">
        <v>2702</v>
      </c>
      <c r="J260" t="s">
        <v>2703</v>
      </c>
      <c r="K260" t="s">
        <v>2704</v>
      </c>
      <c r="L260">
        <v>2002</v>
      </c>
      <c r="M260" t="s">
        <v>2705</v>
      </c>
      <c r="N260" t="s">
        <v>2706</v>
      </c>
      <c r="O260" t="s">
        <v>2707</v>
      </c>
      <c r="P260" t="s">
        <v>2708</v>
      </c>
      <c r="Q260" t="s">
        <v>2709</v>
      </c>
      <c r="R260" t="s">
        <v>2710</v>
      </c>
    </row>
    <row r="261" spans="1:18">
      <c r="A261" s="2" t="str">
        <f>HYPERLINK("https://investorlist.com/investor/agility?ref=Excel_ViewProfile","View Profile")</f>
        <v>View Profile</v>
      </c>
      <c r="B261" t="s">
        <v>2711</v>
      </c>
      <c r="C261" t="s">
        <v>136</v>
      </c>
      <c r="D261" t="s">
        <v>2712</v>
      </c>
      <c r="E261" t="s">
        <v>2713</v>
      </c>
      <c r="F261" t="s">
        <v>46</v>
      </c>
      <c r="G261" t="s">
        <v>2714</v>
      </c>
      <c r="H261" t="s">
        <v>2715</v>
      </c>
      <c r="I261" t="s">
        <v>2716</v>
      </c>
      <c r="J261" t="s">
        <v>2717</v>
      </c>
      <c r="K261" t="s">
        <v>2718</v>
      </c>
      <c r="L261">
        <v>1979</v>
      </c>
      <c r="M261" t="s">
        <v>202</v>
      </c>
      <c r="N261" t="s">
        <v>2719</v>
      </c>
      <c r="O261" t="s">
        <v>2720</v>
      </c>
      <c r="P261" t="s">
        <v>2721</v>
      </c>
      <c r="Q261" t="s">
        <v>2722</v>
      </c>
      <c r="R261" t="s">
        <v>2723</v>
      </c>
    </row>
    <row r="262" spans="1:18">
      <c r="A262" s="2" t="str">
        <f>HYPERLINK("https://investorlist.com/investor/alabbar-enterprises?ref=Excel_ViewProfile","View Profile")</f>
        <v>View Profile</v>
      </c>
      <c r="B262" t="s">
        <v>2724</v>
      </c>
      <c r="C262" t="s">
        <v>136</v>
      </c>
      <c r="D262" t="s">
        <v>92</v>
      </c>
      <c r="E262" t="s">
        <v>38</v>
      </c>
      <c r="F262" t="s">
        <v>22</v>
      </c>
      <c r="G262" t="s">
        <v>2725</v>
      </c>
      <c r="H262" t="s">
        <v>2726</v>
      </c>
      <c r="I262" t="s">
        <v>2727</v>
      </c>
      <c r="J262" t="s">
        <v>2728</v>
      </c>
      <c r="K262" t="s">
        <v>2729</v>
      </c>
      <c r="L262">
        <v>2008</v>
      </c>
      <c r="M262" t="s">
        <v>130</v>
      </c>
      <c r="N262" t="s">
        <v>2730</v>
      </c>
      <c r="O262" t="s">
        <v>2731</v>
      </c>
      <c r="P262" t="s">
        <v>2732</v>
      </c>
      <c r="Q262" t="s">
        <v>2733</v>
      </c>
      <c r="R262" t="s">
        <v>2734</v>
      </c>
    </row>
    <row r="263" spans="1:18">
      <c r="A263" s="2" t="str">
        <f>HYPERLINK("https://investorlist.com/investor/axiom-asia-private-capital?ref=Excel_ViewProfile","View Profile")</f>
        <v>View Profile</v>
      </c>
      <c r="B263" t="s">
        <v>2735</v>
      </c>
      <c r="C263" t="s">
        <v>181</v>
      </c>
      <c r="D263" t="s">
        <v>2736</v>
      </c>
      <c r="E263" t="s">
        <v>38</v>
      </c>
      <c r="F263" t="s">
        <v>210</v>
      </c>
      <c r="G263" t="s">
        <v>2737</v>
      </c>
      <c r="H263" t="s">
        <v>38</v>
      </c>
      <c r="I263" t="s">
        <v>2738</v>
      </c>
      <c r="J263" t="s">
        <v>2739</v>
      </c>
      <c r="K263" t="s">
        <v>2740</v>
      </c>
      <c r="L263">
        <v>2006</v>
      </c>
      <c r="M263" t="s">
        <v>2741</v>
      </c>
      <c r="N263" t="s">
        <v>2742</v>
      </c>
      <c r="O263" t="s">
        <v>2743</v>
      </c>
      <c r="P263" t="s">
        <v>2744</v>
      </c>
      <c r="Q263" t="s">
        <v>2745</v>
      </c>
      <c r="R263" t="s">
        <v>2746</v>
      </c>
    </row>
    <row r="264" spans="1:18">
      <c r="A264" s="2" t="str">
        <f>HYPERLINK("https://investorlist.com/investor/artal-capital?ref=Excel_ViewProfile","View Profile")</f>
        <v>View Profile</v>
      </c>
      <c r="B264" t="s">
        <v>2747</v>
      </c>
      <c r="C264" t="s">
        <v>181</v>
      </c>
      <c r="D264" t="s">
        <v>2748</v>
      </c>
      <c r="E264" t="s">
        <v>457</v>
      </c>
      <c r="F264" t="s">
        <v>301</v>
      </c>
      <c r="G264" t="s">
        <v>2749</v>
      </c>
      <c r="H264" t="s">
        <v>38</v>
      </c>
      <c r="I264" t="s">
        <v>2750</v>
      </c>
      <c r="J264" t="s">
        <v>2751</v>
      </c>
      <c r="K264" t="s">
        <v>2752</v>
      </c>
      <c r="L264">
        <v>2018</v>
      </c>
      <c r="M264" t="s">
        <v>282</v>
      </c>
      <c r="N264" t="s">
        <v>2753</v>
      </c>
      <c r="O264" t="s">
        <v>177</v>
      </c>
      <c r="P264" t="s">
        <v>501</v>
      </c>
      <c r="Q264" t="s">
        <v>2754</v>
      </c>
      <c r="R264" t="s">
        <v>2755</v>
      </c>
    </row>
    <row r="265" spans="1:18">
      <c r="A265" s="2" t="str">
        <f>HYPERLINK("https://investorlist.com/investor/landmark-capital?ref=Excel_ViewProfile","View Profile")</f>
        <v>View Profile</v>
      </c>
      <c r="B265" t="s">
        <v>2756</v>
      </c>
      <c r="C265" t="s">
        <v>181</v>
      </c>
      <c r="D265" t="s">
        <v>2757</v>
      </c>
      <c r="E265" t="s">
        <v>2758</v>
      </c>
      <c r="F265" t="s">
        <v>585</v>
      </c>
      <c r="G265" t="s">
        <v>2759</v>
      </c>
      <c r="H265" t="s">
        <v>38</v>
      </c>
      <c r="I265" t="s">
        <v>2760</v>
      </c>
      <c r="J265" t="s">
        <v>2761</v>
      </c>
      <c r="K265" t="s">
        <v>2762</v>
      </c>
      <c r="L265">
        <v>2010</v>
      </c>
      <c r="M265" t="s">
        <v>1302</v>
      </c>
      <c r="N265" t="s">
        <v>217</v>
      </c>
      <c r="O265" t="s">
        <v>177</v>
      </c>
      <c r="P265" t="s">
        <v>2763</v>
      </c>
      <c r="Q265" t="s">
        <v>2764</v>
      </c>
      <c r="R265" t="s">
        <v>2765</v>
      </c>
    </row>
    <row r="266" spans="1:18">
      <c r="A266" s="2" t="str">
        <f>HYPERLINK("https://investorlist.com/investor/kingsway-frontier-consumer-internet-fund?ref=Excel_ViewProfile","View Profile")</f>
        <v>View Profile</v>
      </c>
      <c r="B266" t="s">
        <v>2766</v>
      </c>
      <c r="C266" t="s">
        <v>181</v>
      </c>
      <c r="D266" t="s">
        <v>2767</v>
      </c>
      <c r="E266" t="s">
        <v>934</v>
      </c>
      <c r="F266" t="s">
        <v>360</v>
      </c>
      <c r="G266" t="s">
        <v>2768</v>
      </c>
      <c r="H266" t="s">
        <v>38</v>
      </c>
      <c r="I266" t="s">
        <v>2769</v>
      </c>
      <c r="J266" t="s">
        <v>2770</v>
      </c>
      <c r="K266" t="s">
        <v>2771</v>
      </c>
      <c r="L266">
        <v>0</v>
      </c>
      <c r="M266" t="s">
        <v>1302</v>
      </c>
      <c r="N266" t="s">
        <v>217</v>
      </c>
      <c r="O266" t="s">
        <v>2772</v>
      </c>
      <c r="P266" t="s">
        <v>2773</v>
      </c>
      <c r="Q266" t="s">
        <v>2774</v>
      </c>
      <c r="R266" t="s">
        <v>2775</v>
      </c>
    </row>
    <row r="267" spans="1:18">
      <c r="A267" s="2" t="str">
        <f>HYPERLINK("https://investorlist.com/investor/500-fintech?ref=Excel_ViewProfile","View Profile")</f>
        <v>View Profile</v>
      </c>
      <c r="B267" t="s">
        <v>2776</v>
      </c>
      <c r="C267" t="s">
        <v>19</v>
      </c>
      <c r="D267" t="s">
        <v>424</v>
      </c>
      <c r="E267" t="s">
        <v>312</v>
      </c>
      <c r="F267" t="s">
        <v>198</v>
      </c>
      <c r="G267" t="s">
        <v>425</v>
      </c>
      <c r="H267" t="s">
        <v>38</v>
      </c>
      <c r="I267" t="s">
        <v>427</v>
      </c>
      <c r="J267" t="s">
        <v>2777</v>
      </c>
      <c r="K267" t="s">
        <v>2778</v>
      </c>
      <c r="L267">
        <v>2010</v>
      </c>
      <c r="M267" t="s">
        <v>2779</v>
      </c>
      <c r="N267" t="s">
        <v>19</v>
      </c>
      <c r="O267" t="s">
        <v>431</v>
      </c>
      <c r="P267" t="s">
        <v>432</v>
      </c>
      <c r="Q267" t="s">
        <v>2780</v>
      </c>
      <c r="R267" t="s">
        <v>2781</v>
      </c>
    </row>
    <row r="268" spans="1:18">
      <c r="A268" s="2" t="str">
        <f>HYPERLINK("https://investorlist.com/investor/capsquare-asia-partners?ref=Excel_ViewProfile","View Profile")</f>
        <v>View Profile</v>
      </c>
      <c r="B268" t="s">
        <v>2782</v>
      </c>
      <c r="C268" t="s">
        <v>181</v>
      </c>
      <c r="D268" t="s">
        <v>2783</v>
      </c>
      <c r="E268" t="s">
        <v>606</v>
      </c>
      <c r="F268" t="s">
        <v>210</v>
      </c>
      <c r="G268" t="s">
        <v>2784</v>
      </c>
      <c r="H268" t="s">
        <v>38</v>
      </c>
      <c r="I268" t="s">
        <v>2785</v>
      </c>
      <c r="J268" t="s">
        <v>2786</v>
      </c>
      <c r="K268" t="s">
        <v>2787</v>
      </c>
      <c r="L268">
        <v>2012</v>
      </c>
      <c r="M268" t="s">
        <v>612</v>
      </c>
      <c r="N268" t="s">
        <v>181</v>
      </c>
      <c r="O268" t="s">
        <v>2788</v>
      </c>
      <c r="P268" t="s">
        <v>1634</v>
      </c>
      <c r="Q268" t="s">
        <v>2789</v>
      </c>
      <c r="R268" t="s">
        <v>2790</v>
      </c>
    </row>
    <row r="269" spans="1:18">
      <c r="A269" s="2" t="str">
        <f>HYPERLINK("https://investorlist.com/investor/orion-capital-asia?ref=Excel_ViewProfile","View Profile")</f>
        <v>View Profile</v>
      </c>
      <c r="B269" t="s">
        <v>2791</v>
      </c>
      <c r="C269" t="s">
        <v>181</v>
      </c>
      <c r="D269" t="s">
        <v>2792</v>
      </c>
      <c r="E269" t="s">
        <v>38</v>
      </c>
      <c r="F269" t="s">
        <v>210</v>
      </c>
      <c r="G269" t="s">
        <v>2793</v>
      </c>
      <c r="H269" t="s">
        <v>38</v>
      </c>
      <c r="I269" t="s">
        <v>2794</v>
      </c>
      <c r="J269" t="s">
        <v>2795</v>
      </c>
      <c r="K269" t="s">
        <v>2796</v>
      </c>
      <c r="L269">
        <v>2013</v>
      </c>
      <c r="M269" t="s">
        <v>1344</v>
      </c>
      <c r="N269" t="s">
        <v>181</v>
      </c>
      <c r="O269" t="s">
        <v>2797</v>
      </c>
      <c r="P269" t="s">
        <v>1954</v>
      </c>
      <c r="Q269" t="s">
        <v>2798</v>
      </c>
      <c r="R269" t="s">
        <v>2799</v>
      </c>
    </row>
    <row r="270" spans="1:18">
      <c r="A270" s="2" t="str">
        <f>HYPERLINK("https://investorlist.com/investor/east-pacific-capital?ref=Excel_ViewProfile","View Profile")</f>
        <v>View Profile</v>
      </c>
      <c r="B270" t="s">
        <v>2800</v>
      </c>
      <c r="C270" t="s">
        <v>181</v>
      </c>
      <c r="D270" t="s">
        <v>2801</v>
      </c>
      <c r="E270" t="s">
        <v>38</v>
      </c>
      <c r="F270" t="s">
        <v>210</v>
      </c>
      <c r="G270" t="s">
        <v>2802</v>
      </c>
      <c r="H270" t="s">
        <v>38</v>
      </c>
      <c r="I270" t="s">
        <v>2803</v>
      </c>
      <c r="J270" t="s">
        <v>38</v>
      </c>
      <c r="K270" t="s">
        <v>2804</v>
      </c>
      <c r="L270">
        <v>2008</v>
      </c>
      <c r="M270" t="s">
        <v>1302</v>
      </c>
      <c r="N270" t="s">
        <v>181</v>
      </c>
      <c r="O270" t="s">
        <v>2805</v>
      </c>
      <c r="P270" t="s">
        <v>723</v>
      </c>
      <c r="Q270" t="s">
        <v>2806</v>
      </c>
      <c r="R270" t="s">
        <v>2807</v>
      </c>
    </row>
    <row r="271" spans="1:18">
      <c r="A271" s="2" t="str">
        <f>HYPERLINK("https://investorlist.com/investor/symmetry-group-ltd?ref=Excel_ViewProfile","View Profile")</f>
        <v>View Profile</v>
      </c>
      <c r="B271" t="s">
        <v>2808</v>
      </c>
      <c r="C271" t="s">
        <v>136</v>
      </c>
      <c r="D271" t="s">
        <v>2809</v>
      </c>
      <c r="E271" t="s">
        <v>846</v>
      </c>
      <c r="F271" t="s">
        <v>806</v>
      </c>
      <c r="G271" t="s">
        <v>2810</v>
      </c>
      <c r="H271" t="s">
        <v>38</v>
      </c>
      <c r="I271" t="s">
        <v>2811</v>
      </c>
      <c r="J271" t="s">
        <v>2812</v>
      </c>
      <c r="K271" t="s">
        <v>2813</v>
      </c>
      <c r="L271">
        <v>2012</v>
      </c>
      <c r="M271" t="s">
        <v>2814</v>
      </c>
      <c r="N271" t="s">
        <v>2815</v>
      </c>
      <c r="O271" t="s">
        <v>2815</v>
      </c>
      <c r="P271" t="s">
        <v>824</v>
      </c>
      <c r="Q271" t="s">
        <v>2816</v>
      </c>
      <c r="R271" t="s">
        <v>2817</v>
      </c>
    </row>
    <row r="272" spans="1:18">
      <c r="A272" s="2" t="str">
        <f>HYPERLINK("https://investorlist.com/investor/micasa-investments?ref=Excel_ViewProfile","View Profile")</f>
        <v>View Profile</v>
      </c>
      <c r="B272" t="s">
        <v>2818</v>
      </c>
      <c r="C272" t="s">
        <v>136</v>
      </c>
      <c r="D272" t="s">
        <v>2819</v>
      </c>
      <c r="E272" t="s">
        <v>38</v>
      </c>
      <c r="F272" t="s">
        <v>210</v>
      </c>
      <c r="G272" t="s">
        <v>2820</v>
      </c>
      <c r="H272" t="s">
        <v>38</v>
      </c>
      <c r="I272" t="s">
        <v>2821</v>
      </c>
      <c r="J272" t="s">
        <v>38</v>
      </c>
      <c r="K272" t="s">
        <v>2822</v>
      </c>
      <c r="L272">
        <v>1982</v>
      </c>
      <c r="M272" t="s">
        <v>64</v>
      </c>
      <c r="N272" t="s">
        <v>19</v>
      </c>
      <c r="O272" t="s">
        <v>2823</v>
      </c>
      <c r="P272" t="s">
        <v>2824</v>
      </c>
      <c r="Q272" t="s">
        <v>2825</v>
      </c>
      <c r="R272" t="s">
        <v>38</v>
      </c>
    </row>
    <row r="273" spans="1:18">
      <c r="A273" s="2" t="str">
        <f>HYPERLINK("https://investorlist.com/investor/vibe-capital?ref=Excel_ViewProfile","View Profile")</f>
        <v>View Profile</v>
      </c>
      <c r="B273" t="s">
        <v>2826</v>
      </c>
      <c r="C273" t="s">
        <v>19</v>
      </c>
      <c r="D273" t="s">
        <v>38</v>
      </c>
      <c r="E273" t="s">
        <v>38</v>
      </c>
      <c r="F273" t="s">
        <v>198</v>
      </c>
      <c r="G273" t="s">
        <v>2827</v>
      </c>
      <c r="H273" t="s">
        <v>2828</v>
      </c>
      <c r="I273" t="s">
        <v>2829</v>
      </c>
      <c r="J273" t="s">
        <v>38</v>
      </c>
      <c r="K273" t="s">
        <v>2830</v>
      </c>
      <c r="L273">
        <v>2021</v>
      </c>
      <c r="M273" t="s">
        <v>863</v>
      </c>
      <c r="N273" t="s">
        <v>19</v>
      </c>
      <c r="O273" t="s">
        <v>2831</v>
      </c>
      <c r="P273" t="s">
        <v>2832</v>
      </c>
      <c r="Q273" t="s">
        <v>2833</v>
      </c>
      <c r="R273" t="s">
        <v>2834</v>
      </c>
    </row>
    <row r="274" spans="1:18">
      <c r="A274" s="2" t="str">
        <f>HYPERLINK("https://investorlist.com/investor/iseed-sea?ref=Excel_ViewProfile","View Profile")</f>
        <v>View Profile</v>
      </c>
      <c r="B274" t="s">
        <v>2835</v>
      </c>
      <c r="C274" t="s">
        <v>19</v>
      </c>
      <c r="D274" t="s">
        <v>1930</v>
      </c>
      <c r="E274" t="s">
        <v>38</v>
      </c>
      <c r="F274" t="s">
        <v>210</v>
      </c>
      <c r="G274" t="s">
        <v>2836</v>
      </c>
      <c r="H274" t="s">
        <v>38</v>
      </c>
      <c r="I274" t="s">
        <v>2837</v>
      </c>
      <c r="J274" t="s">
        <v>38</v>
      </c>
      <c r="K274" t="s">
        <v>2838</v>
      </c>
      <c r="L274">
        <v>2020</v>
      </c>
      <c r="M274" t="s">
        <v>863</v>
      </c>
      <c r="N274" t="s">
        <v>19</v>
      </c>
      <c r="O274" t="s">
        <v>2839</v>
      </c>
      <c r="P274" t="s">
        <v>1899</v>
      </c>
      <c r="Q274" t="s">
        <v>2840</v>
      </c>
      <c r="R274" t="s">
        <v>2841</v>
      </c>
    </row>
    <row r="275" spans="1:18">
      <c r="A275" s="2" t="str">
        <f>HYPERLINK("https://investorlist.com/investor/checkmate-capital-group?ref=Excel_ViewProfile","View Profile")</f>
        <v>View Profile</v>
      </c>
      <c r="B275" t="s">
        <v>2842</v>
      </c>
      <c r="C275" t="s">
        <v>136</v>
      </c>
      <c r="D275" t="s">
        <v>2843</v>
      </c>
      <c r="E275" t="s">
        <v>312</v>
      </c>
      <c r="F275" t="s">
        <v>198</v>
      </c>
      <c r="G275" t="s">
        <v>2844</v>
      </c>
      <c r="H275" t="s">
        <v>2845</v>
      </c>
      <c r="I275" t="s">
        <v>38</v>
      </c>
      <c r="J275" t="s">
        <v>38</v>
      </c>
      <c r="K275" t="s">
        <v>2846</v>
      </c>
      <c r="L275">
        <v>2017</v>
      </c>
      <c r="M275" t="s">
        <v>1526</v>
      </c>
      <c r="N275" t="s">
        <v>217</v>
      </c>
      <c r="O275" t="s">
        <v>2847</v>
      </c>
      <c r="P275" t="s">
        <v>2848</v>
      </c>
      <c r="Q275" t="s">
        <v>2849</v>
      </c>
      <c r="R275" t="s">
        <v>2850</v>
      </c>
    </row>
    <row r="276" spans="1:18">
      <c r="A276" s="2" t="str">
        <f>HYPERLINK("https://investorlist.com/investor/clearwater-capital-partners?ref=Excel_ViewProfile","View Profile")</f>
        <v>View Profile</v>
      </c>
      <c r="B276" t="s">
        <v>2851</v>
      </c>
      <c r="C276" t="s">
        <v>181</v>
      </c>
      <c r="D276" t="s">
        <v>2852</v>
      </c>
      <c r="E276" t="s">
        <v>770</v>
      </c>
      <c r="F276" t="s">
        <v>198</v>
      </c>
      <c r="G276" t="s">
        <v>2853</v>
      </c>
      <c r="H276" t="s">
        <v>38</v>
      </c>
      <c r="I276" t="s">
        <v>2854</v>
      </c>
      <c r="J276" t="s">
        <v>2855</v>
      </c>
      <c r="K276" t="s">
        <v>2856</v>
      </c>
      <c r="L276" t="s">
        <v>38</v>
      </c>
      <c r="M276" t="s">
        <v>2857</v>
      </c>
      <c r="N276" t="s">
        <v>2858</v>
      </c>
      <c r="O276" t="s">
        <v>2859</v>
      </c>
      <c r="P276" t="s">
        <v>2860</v>
      </c>
      <c r="Q276" t="s">
        <v>38</v>
      </c>
      <c r="R276" t="s">
        <v>38</v>
      </c>
    </row>
    <row r="277" spans="1:18">
      <c r="A277" s="2" t="str">
        <f>HYPERLINK("https://investorlist.com/investor/efg-hermes-private-equity?ref=Excel_ViewProfile","View Profile")</f>
        <v>View Profile</v>
      </c>
      <c r="B277" t="s">
        <v>2861</v>
      </c>
      <c r="C277" t="s">
        <v>181</v>
      </c>
      <c r="D277" t="s">
        <v>2862</v>
      </c>
      <c r="E277" t="s">
        <v>2863</v>
      </c>
      <c r="F277" t="s">
        <v>265</v>
      </c>
      <c r="G277" t="s">
        <v>2864</v>
      </c>
      <c r="H277" t="s">
        <v>38</v>
      </c>
      <c r="I277" t="s">
        <v>2865</v>
      </c>
      <c r="J277" t="s">
        <v>2866</v>
      </c>
      <c r="K277" t="s">
        <v>2867</v>
      </c>
      <c r="L277" t="s">
        <v>38</v>
      </c>
      <c r="M277" t="s">
        <v>188</v>
      </c>
      <c r="N277" t="s">
        <v>181</v>
      </c>
      <c r="O277" t="s">
        <v>2868</v>
      </c>
      <c r="P277" t="s">
        <v>2869</v>
      </c>
      <c r="Q277" t="s">
        <v>38</v>
      </c>
      <c r="R277" t="s">
        <v>38</v>
      </c>
    </row>
    <row r="278" spans="1:18">
      <c r="A278" s="2" t="str">
        <f>HYPERLINK("https://investorlist.com/investor/newquest-asia-fund-iv-singapore-pte-ltd?ref=Excel_ViewProfile","View Profile")</f>
        <v>View Profile</v>
      </c>
      <c r="B278" t="s">
        <v>2870</v>
      </c>
      <c r="C278" t="s">
        <v>181</v>
      </c>
      <c r="D278" t="s">
        <v>2871</v>
      </c>
      <c r="E278" t="s">
        <v>606</v>
      </c>
      <c r="F278" t="s">
        <v>210</v>
      </c>
      <c r="G278" t="s">
        <v>2872</v>
      </c>
      <c r="H278" t="s">
        <v>38</v>
      </c>
      <c r="I278" t="s">
        <v>2873</v>
      </c>
      <c r="J278" t="s">
        <v>2874</v>
      </c>
      <c r="K278" t="s">
        <v>2875</v>
      </c>
      <c r="L278">
        <v>2011</v>
      </c>
      <c r="M278" t="s">
        <v>130</v>
      </c>
      <c r="N278" t="s">
        <v>181</v>
      </c>
      <c r="O278" t="s">
        <v>2876</v>
      </c>
      <c r="P278" t="s">
        <v>2877</v>
      </c>
      <c r="Q278" t="s">
        <v>2878</v>
      </c>
      <c r="R278" t="s">
        <v>38</v>
      </c>
    </row>
    <row r="279" spans="1:18">
      <c r="A279" s="2" t="str">
        <f>HYPERLINK("https://investorlist.com/investor/capital-square-partners?ref=Excel_ViewProfile","View Profile")</f>
        <v>View Profile</v>
      </c>
      <c r="B279" t="s">
        <v>2879</v>
      </c>
      <c r="C279" t="s">
        <v>181</v>
      </c>
      <c r="D279" t="s">
        <v>2880</v>
      </c>
      <c r="E279" t="s">
        <v>38</v>
      </c>
      <c r="F279" t="s">
        <v>210</v>
      </c>
      <c r="G279" t="s">
        <v>2881</v>
      </c>
      <c r="H279" t="s">
        <v>38</v>
      </c>
      <c r="I279" t="s">
        <v>2882</v>
      </c>
      <c r="J279" t="s">
        <v>2883</v>
      </c>
      <c r="K279" t="s">
        <v>2884</v>
      </c>
      <c r="L279">
        <v>2013</v>
      </c>
      <c r="M279" t="s">
        <v>612</v>
      </c>
      <c r="N279" t="s">
        <v>217</v>
      </c>
      <c r="O279" t="s">
        <v>2885</v>
      </c>
      <c r="P279" t="s">
        <v>1552</v>
      </c>
      <c r="Q279" t="s">
        <v>2886</v>
      </c>
      <c r="R279" t="s">
        <v>2887</v>
      </c>
    </row>
    <row r="280" spans="1:18">
      <c r="A280" s="2" t="str">
        <f>HYPERLINK("https://investorlist.com/investor/albright-capital-management?ref=Excel_ViewProfile","View Profile")</f>
        <v>View Profile</v>
      </c>
      <c r="B280" t="s">
        <v>2888</v>
      </c>
      <c r="C280" t="s">
        <v>181</v>
      </c>
      <c r="D280" t="s">
        <v>2889</v>
      </c>
      <c r="E280" t="s">
        <v>2890</v>
      </c>
      <c r="F280" t="s">
        <v>198</v>
      </c>
      <c r="G280" t="s">
        <v>2891</v>
      </c>
      <c r="H280" t="s">
        <v>2892</v>
      </c>
      <c r="I280" t="s">
        <v>2893</v>
      </c>
      <c r="J280" t="s">
        <v>2894</v>
      </c>
      <c r="K280" t="s">
        <v>2895</v>
      </c>
      <c r="L280">
        <v>2005</v>
      </c>
      <c r="M280" t="s">
        <v>2896</v>
      </c>
      <c r="N280" t="s">
        <v>2897</v>
      </c>
      <c r="O280" t="s">
        <v>2898</v>
      </c>
      <c r="P280" t="s">
        <v>2899</v>
      </c>
      <c r="Q280" t="s">
        <v>2900</v>
      </c>
      <c r="R280" t="s">
        <v>2901</v>
      </c>
    </row>
    <row r="281" spans="1:18">
      <c r="A281" s="2" t="str">
        <f>HYPERLINK("https://investorlist.com/investor/tanncam-investment?ref=Excel_ViewProfile","View Profile")</f>
        <v>View Profile</v>
      </c>
      <c r="B281" t="s">
        <v>2902</v>
      </c>
      <c r="C281" t="s">
        <v>181</v>
      </c>
      <c r="D281" t="s">
        <v>2903</v>
      </c>
      <c r="E281" t="s">
        <v>38</v>
      </c>
      <c r="F281" t="s">
        <v>210</v>
      </c>
      <c r="G281" t="s">
        <v>2904</v>
      </c>
      <c r="H281" t="s">
        <v>38</v>
      </c>
      <c r="I281" t="s">
        <v>2905</v>
      </c>
      <c r="J281" t="s">
        <v>2906</v>
      </c>
      <c r="K281" t="s">
        <v>2907</v>
      </c>
      <c r="L281">
        <v>2014</v>
      </c>
      <c r="M281" t="s">
        <v>1526</v>
      </c>
      <c r="N281" t="s">
        <v>217</v>
      </c>
      <c r="O281" t="s">
        <v>2908</v>
      </c>
      <c r="P281" t="s">
        <v>2909</v>
      </c>
      <c r="Q281" t="s">
        <v>38</v>
      </c>
      <c r="R281" t="s">
        <v>2910</v>
      </c>
    </row>
    <row r="282" spans="1:18">
      <c r="A282" s="2" t="str">
        <f>HYPERLINK("https://investorlist.com/investor/silk-invest-limited?ref=Excel_ViewProfile","View Profile")</f>
        <v>View Profile</v>
      </c>
      <c r="B282" t="s">
        <v>2911</v>
      </c>
      <c r="C282" t="s">
        <v>136</v>
      </c>
      <c r="D282" t="s">
        <v>2912</v>
      </c>
      <c r="E282" t="s">
        <v>934</v>
      </c>
      <c r="F282" t="s">
        <v>360</v>
      </c>
      <c r="G282" t="s">
        <v>2913</v>
      </c>
      <c r="H282" t="s">
        <v>38</v>
      </c>
      <c r="I282" t="s">
        <v>2914</v>
      </c>
      <c r="J282" t="s">
        <v>2915</v>
      </c>
      <c r="K282" t="s">
        <v>2916</v>
      </c>
      <c r="L282">
        <v>2008</v>
      </c>
      <c r="M282" t="s">
        <v>188</v>
      </c>
      <c r="N282" t="s">
        <v>2917</v>
      </c>
      <c r="O282" t="s">
        <v>2918</v>
      </c>
      <c r="P282" t="s">
        <v>2919</v>
      </c>
      <c r="Q282" t="s">
        <v>2920</v>
      </c>
      <c r="R282" t="s">
        <v>2921</v>
      </c>
    </row>
    <row r="283" spans="1:18">
      <c r="A283" s="2" t="str">
        <f>HYPERLINK("https://investorlist.com/investor/global-emerging-markets-group?ref=Excel_ViewProfile","View Profile")</f>
        <v>View Profile</v>
      </c>
      <c r="B283" t="s">
        <v>2922</v>
      </c>
      <c r="C283" t="s">
        <v>181</v>
      </c>
      <c r="D283" t="s">
        <v>1436</v>
      </c>
      <c r="E283" t="s">
        <v>324</v>
      </c>
      <c r="F283" t="s">
        <v>198</v>
      </c>
      <c r="G283" t="s">
        <v>2923</v>
      </c>
      <c r="H283" t="s">
        <v>2924</v>
      </c>
      <c r="I283" t="s">
        <v>2925</v>
      </c>
      <c r="J283" t="s">
        <v>2926</v>
      </c>
      <c r="K283" t="s">
        <v>2927</v>
      </c>
      <c r="L283">
        <v>1991</v>
      </c>
      <c r="M283" t="s">
        <v>28</v>
      </c>
      <c r="N283" t="s">
        <v>2928</v>
      </c>
      <c r="O283" t="s">
        <v>2929</v>
      </c>
      <c r="P283" t="s">
        <v>2930</v>
      </c>
      <c r="Q283" t="s">
        <v>2931</v>
      </c>
      <c r="R283" t="s">
        <v>2932</v>
      </c>
    </row>
    <row r="284" spans="1:18">
      <c r="A284" s="2" t="str">
        <f>HYPERLINK("https://investorlist.com/investor/vig-partners?ref=Excel_ViewProfile","View Profile")</f>
        <v>View Profile</v>
      </c>
      <c r="B284" t="s">
        <v>2933</v>
      </c>
      <c r="C284" t="s">
        <v>181</v>
      </c>
      <c r="D284" t="s">
        <v>2934</v>
      </c>
      <c r="E284" t="s">
        <v>595</v>
      </c>
      <c r="F284" t="s">
        <v>596</v>
      </c>
      <c r="G284" t="s">
        <v>2935</v>
      </c>
      <c r="H284" t="s">
        <v>2936</v>
      </c>
      <c r="I284" t="s">
        <v>2937</v>
      </c>
      <c r="J284" t="s">
        <v>2938</v>
      </c>
      <c r="K284" t="s">
        <v>2939</v>
      </c>
      <c r="L284">
        <v>2005</v>
      </c>
      <c r="M284" t="s">
        <v>2940</v>
      </c>
      <c r="N284" t="s">
        <v>181</v>
      </c>
      <c r="O284" t="s">
        <v>2941</v>
      </c>
      <c r="P284" t="s">
        <v>2942</v>
      </c>
      <c r="Q284" t="s">
        <v>2943</v>
      </c>
      <c r="R284" t="s">
        <v>2944</v>
      </c>
    </row>
    <row r="285" spans="1:18">
      <c r="A285" s="2" t="str">
        <f>HYPERLINK("https://investorlist.com/investor/newbridge-capital?ref=Excel_ViewProfile","View Profile")</f>
        <v>View Profile</v>
      </c>
      <c r="B285" t="s">
        <v>2945</v>
      </c>
      <c r="C285" t="s">
        <v>181</v>
      </c>
      <c r="D285" t="s">
        <v>2946</v>
      </c>
      <c r="E285" t="s">
        <v>913</v>
      </c>
      <c r="F285" t="s">
        <v>198</v>
      </c>
      <c r="G285" t="s">
        <v>2947</v>
      </c>
      <c r="H285" t="s">
        <v>38</v>
      </c>
      <c r="I285" t="s">
        <v>2948</v>
      </c>
      <c r="J285" t="s">
        <v>38</v>
      </c>
      <c r="K285" t="s">
        <v>2949</v>
      </c>
      <c r="L285">
        <v>0</v>
      </c>
      <c r="M285" t="s">
        <v>2950</v>
      </c>
      <c r="N285" t="s">
        <v>181</v>
      </c>
      <c r="O285" t="s">
        <v>2951</v>
      </c>
      <c r="P285" t="s">
        <v>2952</v>
      </c>
      <c r="Q285" t="s">
        <v>2953</v>
      </c>
      <c r="R285" t="s">
        <v>38</v>
      </c>
    </row>
    <row r="286" spans="1:18">
      <c r="A286" s="2" t="str">
        <f>HYPERLINK("https://investorlist.com/investor/seaborne-capital?ref=Excel_ViewProfile","View Profile")</f>
        <v>View Profile</v>
      </c>
      <c r="B286" t="s">
        <v>2954</v>
      </c>
      <c r="C286" t="s">
        <v>181</v>
      </c>
      <c r="D286" t="s">
        <v>38</v>
      </c>
      <c r="E286" t="s">
        <v>38</v>
      </c>
      <c r="F286" t="s">
        <v>1787</v>
      </c>
      <c r="G286" t="s">
        <v>2955</v>
      </c>
      <c r="H286" t="s">
        <v>2956</v>
      </c>
      <c r="I286" t="s">
        <v>2957</v>
      </c>
      <c r="J286" t="s">
        <v>2958</v>
      </c>
      <c r="K286" t="s">
        <v>2959</v>
      </c>
      <c r="L286">
        <v>2004</v>
      </c>
      <c r="M286" t="s">
        <v>440</v>
      </c>
      <c r="N286" t="s">
        <v>217</v>
      </c>
      <c r="O286" t="s">
        <v>2960</v>
      </c>
      <c r="P286" t="s">
        <v>1634</v>
      </c>
      <c r="Q286" t="s">
        <v>2961</v>
      </c>
      <c r="R286" t="s">
        <v>2962</v>
      </c>
    </row>
    <row r="287" spans="1:18">
      <c r="A287" s="2" t="str">
        <f>HYPERLINK("https://investorlist.com/investor/silverstrand-capital?ref=Excel_ViewProfile","View Profile")</f>
        <v>View Profile</v>
      </c>
      <c r="B287" t="s">
        <v>2963</v>
      </c>
      <c r="C287" t="s">
        <v>162</v>
      </c>
      <c r="D287" t="s">
        <v>606</v>
      </c>
      <c r="E287" t="s">
        <v>38</v>
      </c>
      <c r="F287" t="s">
        <v>210</v>
      </c>
      <c r="G287" t="s">
        <v>2964</v>
      </c>
      <c r="H287" t="s">
        <v>38</v>
      </c>
      <c r="I287" t="s">
        <v>2965</v>
      </c>
      <c r="J287" t="s">
        <v>2966</v>
      </c>
      <c r="K287" t="s">
        <v>2967</v>
      </c>
      <c r="L287">
        <v>2018</v>
      </c>
      <c r="M287" t="s">
        <v>737</v>
      </c>
      <c r="N287" t="s">
        <v>217</v>
      </c>
      <c r="O287" t="s">
        <v>2968</v>
      </c>
      <c r="P287" t="s">
        <v>1634</v>
      </c>
      <c r="Q287" t="s">
        <v>2969</v>
      </c>
      <c r="R287" t="s">
        <v>2970</v>
      </c>
    </row>
    <row r="288" spans="1:18">
      <c r="A288" s="2" t="str">
        <f>HYPERLINK("https://investorlist.com/investor/stonebridge-capital?ref=Excel_ViewProfile","View Profile")</f>
        <v>View Profile</v>
      </c>
      <c r="B288" t="s">
        <v>2971</v>
      </c>
      <c r="C288" t="s">
        <v>181</v>
      </c>
      <c r="D288" t="s">
        <v>2972</v>
      </c>
      <c r="E288" t="s">
        <v>595</v>
      </c>
      <c r="F288" t="s">
        <v>596</v>
      </c>
      <c r="G288" t="s">
        <v>2973</v>
      </c>
      <c r="H288" t="s">
        <v>2974</v>
      </c>
      <c r="I288" t="s">
        <v>2975</v>
      </c>
      <c r="J288" t="s">
        <v>38</v>
      </c>
      <c r="K288" t="s">
        <v>2976</v>
      </c>
      <c r="L288">
        <v>2008</v>
      </c>
      <c r="M288" t="s">
        <v>2977</v>
      </c>
      <c r="N288" t="s">
        <v>217</v>
      </c>
      <c r="O288" t="s">
        <v>2978</v>
      </c>
      <c r="P288" t="s">
        <v>2979</v>
      </c>
      <c r="Q288" t="s">
        <v>2980</v>
      </c>
      <c r="R288" t="s">
        <v>2981</v>
      </c>
    </row>
    <row r="289" spans="1:18">
      <c r="A289" s="2" t="str">
        <f>HYPERLINK("https://investorlist.com/investor/templewater?ref=Excel_ViewProfile","View Profile")</f>
        <v>View Profile</v>
      </c>
      <c r="B289" t="s">
        <v>2982</v>
      </c>
      <c r="C289" t="s">
        <v>136</v>
      </c>
      <c r="D289" t="s">
        <v>2983</v>
      </c>
      <c r="E289" t="s">
        <v>38</v>
      </c>
      <c r="F289" t="s">
        <v>585</v>
      </c>
      <c r="G289" t="s">
        <v>2984</v>
      </c>
      <c r="H289" t="s">
        <v>2985</v>
      </c>
      <c r="I289" t="s">
        <v>2986</v>
      </c>
      <c r="J289" t="s">
        <v>2987</v>
      </c>
      <c r="K289" t="s">
        <v>2988</v>
      </c>
      <c r="L289">
        <v>2018</v>
      </c>
      <c r="M289" t="s">
        <v>2989</v>
      </c>
      <c r="N289" t="s">
        <v>2990</v>
      </c>
      <c r="O289" t="s">
        <v>500</v>
      </c>
      <c r="P289" t="s">
        <v>2991</v>
      </c>
      <c r="Q289" t="s">
        <v>2992</v>
      </c>
      <c r="R289" t="s">
        <v>2993</v>
      </c>
    </row>
    <row r="290" spans="1:18">
      <c r="A290" s="2" t="str">
        <f>HYPERLINK("https://investorlist.com/investor/anchor-equity-partners?ref=Excel_ViewProfile","View Profile")</f>
        <v>View Profile</v>
      </c>
      <c r="B290" t="s">
        <v>2994</v>
      </c>
      <c r="C290" t="s">
        <v>181</v>
      </c>
      <c r="D290" t="s">
        <v>2995</v>
      </c>
      <c r="E290" t="s">
        <v>38</v>
      </c>
      <c r="F290" t="s">
        <v>585</v>
      </c>
      <c r="G290" t="s">
        <v>2996</v>
      </c>
      <c r="H290" t="s">
        <v>2997</v>
      </c>
      <c r="I290" t="s">
        <v>2998</v>
      </c>
      <c r="J290" t="s">
        <v>2999</v>
      </c>
      <c r="K290" t="s">
        <v>3000</v>
      </c>
      <c r="L290">
        <v>2012</v>
      </c>
      <c r="M290" t="s">
        <v>3001</v>
      </c>
      <c r="N290" t="s">
        <v>217</v>
      </c>
      <c r="O290" t="s">
        <v>3002</v>
      </c>
      <c r="P290" t="s">
        <v>3003</v>
      </c>
      <c r="Q290" t="s">
        <v>3004</v>
      </c>
      <c r="R290" t="s">
        <v>3005</v>
      </c>
    </row>
    <row r="291" spans="1:18">
      <c r="A291" s="2" t="str">
        <f>HYPERLINK("https://investorlist.com/investor/lombard-investments?ref=Excel_ViewProfile","View Profile")</f>
        <v>View Profile</v>
      </c>
      <c r="B291" t="s">
        <v>3006</v>
      </c>
      <c r="C291" t="s">
        <v>181</v>
      </c>
      <c r="D291" t="s">
        <v>3007</v>
      </c>
      <c r="E291" t="s">
        <v>312</v>
      </c>
      <c r="F291" t="s">
        <v>198</v>
      </c>
      <c r="G291" t="s">
        <v>3008</v>
      </c>
      <c r="H291" t="s">
        <v>38</v>
      </c>
      <c r="I291" t="s">
        <v>3009</v>
      </c>
      <c r="J291" t="s">
        <v>3010</v>
      </c>
      <c r="K291" t="s">
        <v>3011</v>
      </c>
      <c r="L291">
        <v>1985</v>
      </c>
      <c r="M291" t="s">
        <v>3012</v>
      </c>
      <c r="N291" t="s">
        <v>181</v>
      </c>
      <c r="O291" t="s">
        <v>3013</v>
      </c>
      <c r="P291" t="s">
        <v>2848</v>
      </c>
      <c r="Q291" t="s">
        <v>3014</v>
      </c>
      <c r="R291" t="s">
        <v>38</v>
      </c>
    </row>
    <row r="292" spans="1:18">
      <c r="A292" s="2" t="str">
        <f>HYPERLINK("https://investorlist.com/investor/ithaca-capital?ref=Excel_ViewProfile","View Profile")</f>
        <v>View Profile</v>
      </c>
      <c r="B292" t="s">
        <v>3015</v>
      </c>
      <c r="C292" t="s">
        <v>181</v>
      </c>
      <c r="D292" t="s">
        <v>3016</v>
      </c>
      <c r="E292" t="s">
        <v>846</v>
      </c>
      <c r="F292" t="s">
        <v>806</v>
      </c>
      <c r="G292" t="s">
        <v>3017</v>
      </c>
      <c r="H292" t="s">
        <v>38</v>
      </c>
      <c r="I292" t="s">
        <v>3018</v>
      </c>
      <c r="J292" t="s">
        <v>38</v>
      </c>
      <c r="K292" t="s">
        <v>3019</v>
      </c>
      <c r="L292">
        <v>1998</v>
      </c>
      <c r="M292" t="s">
        <v>3012</v>
      </c>
      <c r="N292" t="s">
        <v>217</v>
      </c>
      <c r="O292" t="s">
        <v>3020</v>
      </c>
      <c r="P292" t="s">
        <v>812</v>
      </c>
      <c r="Q292" t="s">
        <v>3021</v>
      </c>
      <c r="R292" t="s">
        <v>3022</v>
      </c>
    </row>
    <row r="293" spans="1:18">
      <c r="A293" s="2" t="str">
        <f>HYPERLINK("https://investorlist.com/investor/osk-sbi-venture-partners?ref=Excel_ViewProfile","View Profile")</f>
        <v>View Profile</v>
      </c>
      <c r="B293" t="s">
        <v>3023</v>
      </c>
      <c r="C293" t="s">
        <v>181</v>
      </c>
      <c r="D293" t="s">
        <v>3024</v>
      </c>
      <c r="E293" t="s">
        <v>1533</v>
      </c>
      <c r="F293" t="s">
        <v>253</v>
      </c>
      <c r="G293" t="s">
        <v>3025</v>
      </c>
      <c r="H293" t="s">
        <v>38</v>
      </c>
      <c r="I293" t="s">
        <v>3026</v>
      </c>
      <c r="J293" t="s">
        <v>3027</v>
      </c>
      <c r="K293" t="s">
        <v>3028</v>
      </c>
      <c r="L293">
        <v>2018</v>
      </c>
      <c r="M293" t="s">
        <v>3029</v>
      </c>
      <c r="N293" t="s">
        <v>217</v>
      </c>
      <c r="O293" t="s">
        <v>3030</v>
      </c>
      <c r="P293" t="s">
        <v>2421</v>
      </c>
      <c r="Q293" t="s">
        <v>3031</v>
      </c>
      <c r="R293" t="s">
        <v>3032</v>
      </c>
    </row>
    <row r="294" spans="1:18">
      <c r="A294" s="2" t="str">
        <f>HYPERLINK("https://investorlist.com/investor/visor-partners?ref=Excel_ViewProfile","View Profile")</f>
        <v>View Profile</v>
      </c>
      <c r="B294" t="s">
        <v>3033</v>
      </c>
      <c r="C294" t="s">
        <v>181</v>
      </c>
      <c r="D294" t="s">
        <v>3034</v>
      </c>
      <c r="E294" t="s">
        <v>1671</v>
      </c>
      <c r="F294" t="s">
        <v>1672</v>
      </c>
      <c r="G294" t="s">
        <v>3035</v>
      </c>
      <c r="H294" t="s">
        <v>38</v>
      </c>
      <c r="I294" t="s">
        <v>3036</v>
      </c>
      <c r="J294" t="s">
        <v>3037</v>
      </c>
      <c r="K294" t="s">
        <v>3038</v>
      </c>
      <c r="L294">
        <v>0</v>
      </c>
      <c r="M294" t="s">
        <v>188</v>
      </c>
      <c r="N294" t="s">
        <v>3039</v>
      </c>
      <c r="O294" t="s">
        <v>3040</v>
      </c>
      <c r="P294" t="s">
        <v>644</v>
      </c>
      <c r="Q294" t="s">
        <v>3041</v>
      </c>
      <c r="R294" t="s">
        <v>38</v>
      </c>
    </row>
    <row r="295" spans="1:18">
      <c r="A295" s="2" t="str">
        <f>HYPERLINK("https://investorlist.com/investor/medicine-limited?ref=Excel_ViewProfile","View Profile")</f>
        <v>View Profile</v>
      </c>
      <c r="B295" t="s">
        <v>3042</v>
      </c>
      <c r="C295" t="s">
        <v>181</v>
      </c>
      <c r="D295" t="s">
        <v>3043</v>
      </c>
      <c r="E295" t="s">
        <v>1136</v>
      </c>
      <c r="F295" t="s">
        <v>1137</v>
      </c>
      <c r="G295" t="s">
        <v>3044</v>
      </c>
      <c r="H295" t="s">
        <v>38</v>
      </c>
      <c r="I295" t="s">
        <v>3045</v>
      </c>
      <c r="J295" t="s">
        <v>38</v>
      </c>
      <c r="K295" t="s">
        <v>3046</v>
      </c>
      <c r="L295">
        <v>0</v>
      </c>
      <c r="M295" t="s">
        <v>155</v>
      </c>
      <c r="N295" t="s">
        <v>1972</v>
      </c>
      <c r="O295" t="s">
        <v>3047</v>
      </c>
      <c r="P295" t="s">
        <v>1634</v>
      </c>
      <c r="Q295" t="s">
        <v>3048</v>
      </c>
      <c r="R295" t="s">
        <v>3049</v>
      </c>
    </row>
    <row r="296" spans="1:18">
      <c r="A296" s="2" t="str">
        <f>HYPERLINK("https://investorlist.com/investor/himmah-capital-limited?ref=Excel_ViewProfile","View Profile")</f>
        <v>View Profile</v>
      </c>
      <c r="B296" t="s">
        <v>3050</v>
      </c>
      <c r="C296" t="s">
        <v>181</v>
      </c>
      <c r="D296" t="s">
        <v>3051</v>
      </c>
      <c r="E296" t="s">
        <v>71</v>
      </c>
      <c r="F296" t="s">
        <v>22</v>
      </c>
      <c r="G296" t="s">
        <v>3052</v>
      </c>
      <c r="H296" t="s">
        <v>3053</v>
      </c>
      <c r="I296" t="s">
        <v>3054</v>
      </c>
      <c r="J296" t="s">
        <v>3055</v>
      </c>
      <c r="K296" t="s">
        <v>3056</v>
      </c>
      <c r="L296">
        <v>2014</v>
      </c>
      <c r="M296" t="s">
        <v>3057</v>
      </c>
      <c r="N296" t="s">
        <v>3058</v>
      </c>
      <c r="O296" t="s">
        <v>177</v>
      </c>
      <c r="P296" t="s">
        <v>3059</v>
      </c>
      <c r="Q296" t="s">
        <v>3060</v>
      </c>
      <c r="R296" t="s">
        <v>3061</v>
      </c>
    </row>
    <row r="297" spans="1:18">
      <c r="A297" s="2" t="str">
        <f>HYPERLINK("https://investorlist.com/investor/sarona-asset-management?ref=Excel_ViewProfile","View Profile")</f>
        <v>View Profile</v>
      </c>
      <c r="B297" t="s">
        <v>3062</v>
      </c>
      <c r="C297" t="s">
        <v>136</v>
      </c>
      <c r="D297" t="s">
        <v>3063</v>
      </c>
      <c r="E297" t="s">
        <v>1186</v>
      </c>
      <c r="F297" t="s">
        <v>1187</v>
      </c>
      <c r="G297" t="s">
        <v>3064</v>
      </c>
      <c r="H297" t="s">
        <v>3065</v>
      </c>
      <c r="I297" t="s">
        <v>3066</v>
      </c>
      <c r="J297" t="s">
        <v>3067</v>
      </c>
      <c r="K297" t="s">
        <v>3068</v>
      </c>
      <c r="L297">
        <v>2009</v>
      </c>
      <c r="M297" t="s">
        <v>202</v>
      </c>
      <c r="N297" t="s">
        <v>3069</v>
      </c>
      <c r="O297" t="s">
        <v>777</v>
      </c>
      <c r="P297" t="s">
        <v>3070</v>
      </c>
      <c r="Q297" t="s">
        <v>3071</v>
      </c>
      <c r="R297" t="s">
        <v>38</v>
      </c>
    </row>
    <row r="298" spans="1:18">
      <c r="A298" s="2" t="str">
        <f>HYPERLINK("https://investorlist.com/investor/jabreen-capital?ref=Excel_ViewProfile","View Profile")</f>
        <v>View Profile</v>
      </c>
      <c r="B298" t="s">
        <v>3072</v>
      </c>
      <c r="C298" t="s">
        <v>181</v>
      </c>
      <c r="D298" t="s">
        <v>3073</v>
      </c>
      <c r="E298" t="s">
        <v>3074</v>
      </c>
      <c r="F298" t="s">
        <v>3075</v>
      </c>
      <c r="G298" t="s">
        <v>3076</v>
      </c>
      <c r="H298" t="s">
        <v>38</v>
      </c>
      <c r="I298" t="s">
        <v>3077</v>
      </c>
      <c r="J298" t="s">
        <v>3078</v>
      </c>
      <c r="K298" t="s">
        <v>3079</v>
      </c>
      <c r="L298">
        <v>2015</v>
      </c>
      <c r="M298" t="s">
        <v>202</v>
      </c>
      <c r="N298" t="s">
        <v>181</v>
      </c>
      <c r="O298" t="s">
        <v>3080</v>
      </c>
      <c r="P298" t="s">
        <v>3081</v>
      </c>
      <c r="Q298" t="s">
        <v>3082</v>
      </c>
      <c r="R298" t="s">
        <v>38</v>
      </c>
    </row>
    <row r="299" spans="1:18">
      <c r="A299" s="2" t="str">
        <f>HYPERLINK("https://investorlist.com/investor/asia-green-fund-management-pte-ltd?ref=Excel_ViewProfile","View Profile")</f>
        <v>View Profile</v>
      </c>
      <c r="B299" t="s">
        <v>3083</v>
      </c>
      <c r="C299" t="s">
        <v>181</v>
      </c>
      <c r="D299" t="s">
        <v>3084</v>
      </c>
      <c r="E299" t="s">
        <v>38</v>
      </c>
      <c r="F299" t="s">
        <v>210</v>
      </c>
      <c r="G299" t="s">
        <v>3085</v>
      </c>
      <c r="H299" t="s">
        <v>38</v>
      </c>
      <c r="I299" t="s">
        <v>3086</v>
      </c>
      <c r="J299" t="s">
        <v>3087</v>
      </c>
      <c r="K299" t="s">
        <v>3088</v>
      </c>
      <c r="L299">
        <v>2016</v>
      </c>
      <c r="M299" t="s">
        <v>188</v>
      </c>
      <c r="N299" t="s">
        <v>3089</v>
      </c>
      <c r="O299" t="s">
        <v>3090</v>
      </c>
      <c r="P299" t="s">
        <v>3091</v>
      </c>
      <c r="Q299" t="s">
        <v>3092</v>
      </c>
      <c r="R299" t="s">
        <v>38</v>
      </c>
    </row>
    <row r="300" spans="1:18">
      <c r="A300" s="2" t="str">
        <f>HYPERLINK("https://investorlist.com/investor/pt-gateway-partners?ref=Excel_ViewProfile","View Profile")</f>
        <v>View Profile</v>
      </c>
      <c r="B300" t="s">
        <v>3093</v>
      </c>
      <c r="C300" t="s">
        <v>181</v>
      </c>
      <c r="D300" t="s">
        <v>38</v>
      </c>
      <c r="E300" t="s">
        <v>38</v>
      </c>
      <c r="F300" t="s">
        <v>718</v>
      </c>
      <c r="G300" t="s">
        <v>3094</v>
      </c>
      <c r="H300" t="s">
        <v>38</v>
      </c>
      <c r="I300" t="s">
        <v>3095</v>
      </c>
      <c r="J300" t="s">
        <v>3096</v>
      </c>
      <c r="K300" t="s">
        <v>3097</v>
      </c>
      <c r="L300">
        <v>2014</v>
      </c>
      <c r="M300" t="s">
        <v>612</v>
      </c>
      <c r="N300" t="s">
        <v>3098</v>
      </c>
      <c r="O300" t="s">
        <v>3099</v>
      </c>
      <c r="P300" t="s">
        <v>3100</v>
      </c>
      <c r="Q300" t="s">
        <v>3101</v>
      </c>
      <c r="R300" t="s">
        <v>3102</v>
      </c>
    </row>
    <row r="301" spans="1:18">
      <c r="A301" s="2" t="str">
        <f>HYPERLINK("https://investorlist.com/investor/affirma-capital?ref=Excel_ViewProfile","View Profile")</f>
        <v>View Profile</v>
      </c>
      <c r="B301" t="s">
        <v>3103</v>
      </c>
      <c r="C301" t="s">
        <v>181</v>
      </c>
      <c r="D301" t="s">
        <v>3104</v>
      </c>
      <c r="E301" t="s">
        <v>38</v>
      </c>
      <c r="F301" t="s">
        <v>210</v>
      </c>
      <c r="G301" t="s">
        <v>3105</v>
      </c>
      <c r="H301" t="s">
        <v>38</v>
      </c>
      <c r="I301" t="s">
        <v>3106</v>
      </c>
      <c r="J301" t="s">
        <v>3107</v>
      </c>
      <c r="K301" t="s">
        <v>3108</v>
      </c>
      <c r="L301">
        <v>2019</v>
      </c>
      <c r="M301" t="s">
        <v>612</v>
      </c>
      <c r="N301" t="s">
        <v>181</v>
      </c>
      <c r="O301" t="s">
        <v>3109</v>
      </c>
      <c r="P301" t="s">
        <v>3110</v>
      </c>
      <c r="Q301" t="s">
        <v>3111</v>
      </c>
      <c r="R301" t="s">
        <v>3112</v>
      </c>
    </row>
    <row r="302" spans="1:18">
      <c r="A302" s="2" t="str">
        <f>HYPERLINK("https://investorlist.com/investor/rrj-capital?ref=Excel_ViewProfile","View Profile")</f>
        <v>View Profile</v>
      </c>
      <c r="B302" t="s">
        <v>3113</v>
      </c>
      <c r="C302" t="s">
        <v>181</v>
      </c>
      <c r="D302" t="s">
        <v>3114</v>
      </c>
      <c r="E302" t="s">
        <v>38</v>
      </c>
      <c r="F302" t="s">
        <v>210</v>
      </c>
      <c r="G302" t="s">
        <v>3115</v>
      </c>
      <c r="H302" t="s">
        <v>3116</v>
      </c>
      <c r="I302" t="s">
        <v>3117</v>
      </c>
      <c r="J302" t="s">
        <v>3118</v>
      </c>
      <c r="K302" t="s">
        <v>3119</v>
      </c>
      <c r="L302" t="s">
        <v>38</v>
      </c>
      <c r="M302" t="s">
        <v>130</v>
      </c>
      <c r="N302" t="s">
        <v>181</v>
      </c>
      <c r="O302" t="s">
        <v>3120</v>
      </c>
      <c r="P302" t="s">
        <v>3121</v>
      </c>
      <c r="Q302" t="s">
        <v>38</v>
      </c>
      <c r="R302" t="s">
        <v>38</v>
      </c>
    </row>
    <row r="303" spans="1:18">
      <c r="A303" s="2" t="str">
        <f>HYPERLINK("https://investorlist.com/investor/mountain-kejora?ref=Excel_ViewProfile","View Profile")</f>
        <v>View Profile</v>
      </c>
      <c r="B303" t="s">
        <v>3122</v>
      </c>
      <c r="C303" t="s">
        <v>19</v>
      </c>
      <c r="D303" t="s">
        <v>3123</v>
      </c>
      <c r="E303" t="s">
        <v>717</v>
      </c>
      <c r="F303" t="s">
        <v>718</v>
      </c>
      <c r="G303" t="s">
        <v>3124</v>
      </c>
      <c r="H303" t="s">
        <v>38</v>
      </c>
      <c r="I303" t="s">
        <v>2335</v>
      </c>
      <c r="J303" t="s">
        <v>3125</v>
      </c>
      <c r="K303" t="s">
        <v>3126</v>
      </c>
      <c r="L303">
        <v>2013</v>
      </c>
      <c r="M303" t="s">
        <v>600</v>
      </c>
      <c r="N303" t="s">
        <v>19</v>
      </c>
      <c r="O303" t="s">
        <v>3127</v>
      </c>
      <c r="P303" t="s">
        <v>1899</v>
      </c>
      <c r="Q303" t="s">
        <v>3128</v>
      </c>
      <c r="R303" t="s">
        <v>3129</v>
      </c>
    </row>
    <row r="304" spans="1:18">
      <c r="A304" s="2" t="str">
        <f>HYPERLINK("https://investorlist.com/investor/e?ref=Excel_ViewProfile","View Profile")</f>
        <v>View Profile</v>
      </c>
      <c r="B304" t="s">
        <v>3130</v>
      </c>
      <c r="C304" t="s">
        <v>530</v>
      </c>
      <c r="D304" t="s">
        <v>2393</v>
      </c>
      <c r="E304" t="s">
        <v>38</v>
      </c>
      <c r="F304" t="s">
        <v>22</v>
      </c>
      <c r="G304" t="s">
        <v>3131</v>
      </c>
      <c r="H304" t="s">
        <v>3132</v>
      </c>
      <c r="I304" t="s">
        <v>3133</v>
      </c>
      <c r="J304" t="s">
        <v>3134</v>
      </c>
      <c r="K304" t="s">
        <v>3135</v>
      </c>
      <c r="L304">
        <v>1976</v>
      </c>
      <c r="M304" t="s">
        <v>229</v>
      </c>
      <c r="N304" t="s">
        <v>3136</v>
      </c>
      <c r="O304" t="s">
        <v>3137</v>
      </c>
      <c r="P304" t="s">
        <v>3138</v>
      </c>
      <c r="Q304" t="s">
        <v>3139</v>
      </c>
      <c r="R304" t="s">
        <v>3140</v>
      </c>
    </row>
    <row r="305" spans="1:18">
      <c r="A305" s="2" t="str">
        <f>HYPERLINK("https://investorlist.com/investor/eqt-private-capital-asia?ref=Excel_ViewProfile","View Profile")</f>
        <v>View Profile</v>
      </c>
      <c r="B305" t="s">
        <v>3141</v>
      </c>
      <c r="C305" t="s">
        <v>181</v>
      </c>
      <c r="D305" t="s">
        <v>3142</v>
      </c>
      <c r="E305" t="s">
        <v>38</v>
      </c>
      <c r="F305" t="s">
        <v>585</v>
      </c>
      <c r="G305" t="s">
        <v>3143</v>
      </c>
      <c r="H305" t="s">
        <v>3144</v>
      </c>
      <c r="I305" t="s">
        <v>38</v>
      </c>
      <c r="J305" t="s">
        <v>38</v>
      </c>
      <c r="K305" t="s">
        <v>3145</v>
      </c>
      <c r="L305">
        <v>1997</v>
      </c>
      <c r="M305" t="s">
        <v>3146</v>
      </c>
      <c r="N305" t="s">
        <v>3147</v>
      </c>
      <c r="O305" t="s">
        <v>3148</v>
      </c>
      <c r="P305" t="s">
        <v>3149</v>
      </c>
      <c r="Q305" t="s">
        <v>3150</v>
      </c>
      <c r="R305" t="s">
        <v>3151</v>
      </c>
    </row>
    <row r="306" spans="1:18">
      <c r="A306" s="2" t="str">
        <f>HYPERLINK("https://investorlist.com/investor/osk-ventures-international-berhad?ref=Excel_ViewProfile","View Profile")</f>
        <v>View Profile</v>
      </c>
      <c r="B306" t="s">
        <v>3152</v>
      </c>
      <c r="C306" t="s">
        <v>181</v>
      </c>
      <c r="D306" t="s">
        <v>3153</v>
      </c>
      <c r="E306" t="s">
        <v>1533</v>
      </c>
      <c r="F306" t="s">
        <v>253</v>
      </c>
      <c r="G306" t="s">
        <v>3154</v>
      </c>
      <c r="H306" t="s">
        <v>38</v>
      </c>
      <c r="I306" t="s">
        <v>3155</v>
      </c>
      <c r="J306" t="s">
        <v>3156</v>
      </c>
      <c r="K306" t="s">
        <v>3157</v>
      </c>
      <c r="L306">
        <v>2000</v>
      </c>
      <c r="M306" t="s">
        <v>1278</v>
      </c>
      <c r="N306" t="s">
        <v>3158</v>
      </c>
      <c r="O306" t="s">
        <v>2115</v>
      </c>
      <c r="P306" t="s">
        <v>1899</v>
      </c>
      <c r="Q306" t="s">
        <v>3159</v>
      </c>
      <c r="R306" t="s">
        <v>3160</v>
      </c>
    </row>
    <row r="307" spans="1:18">
      <c r="A307" s="2" t="str">
        <f>HYPERLINK("https://investorlist.com/investor/bintang-capital-partners-berhad?ref=Excel_ViewProfile","View Profile")</f>
        <v>View Profile</v>
      </c>
      <c r="B307" t="s">
        <v>3161</v>
      </c>
      <c r="C307" t="s">
        <v>181</v>
      </c>
      <c r="D307" t="s">
        <v>3162</v>
      </c>
      <c r="E307" t="s">
        <v>1533</v>
      </c>
      <c r="F307" t="s">
        <v>253</v>
      </c>
      <c r="G307" t="s">
        <v>3163</v>
      </c>
      <c r="H307" t="s">
        <v>3164</v>
      </c>
      <c r="I307" t="s">
        <v>3165</v>
      </c>
      <c r="J307" t="s">
        <v>3166</v>
      </c>
      <c r="K307" t="s">
        <v>3167</v>
      </c>
      <c r="L307">
        <v>2018</v>
      </c>
      <c r="M307" t="s">
        <v>3168</v>
      </c>
      <c r="N307" t="s">
        <v>3158</v>
      </c>
      <c r="O307" t="s">
        <v>177</v>
      </c>
      <c r="P307" t="s">
        <v>723</v>
      </c>
      <c r="Q307" t="s">
        <v>3169</v>
      </c>
      <c r="R307" t="s">
        <v>3170</v>
      </c>
    </row>
    <row r="308" spans="1:18">
      <c r="A308" s="2" t="str">
        <f>HYPERLINK("https://investorlist.com/investor/snz-ventures?ref=Excel_ViewProfile","View Profile")</f>
        <v>View Profile</v>
      </c>
      <c r="B308" t="s">
        <v>3171</v>
      </c>
      <c r="C308" t="s">
        <v>19</v>
      </c>
      <c r="D308" t="s">
        <v>3172</v>
      </c>
      <c r="E308" t="s">
        <v>324</v>
      </c>
      <c r="F308" t="s">
        <v>198</v>
      </c>
      <c r="G308" t="s">
        <v>3173</v>
      </c>
      <c r="H308" t="s">
        <v>3174</v>
      </c>
      <c r="I308" t="s">
        <v>3175</v>
      </c>
      <c r="J308" t="s">
        <v>3176</v>
      </c>
      <c r="K308" t="s">
        <v>3177</v>
      </c>
      <c r="L308">
        <v>2014</v>
      </c>
      <c r="M308" t="s">
        <v>64</v>
      </c>
      <c r="N308" t="s">
        <v>487</v>
      </c>
      <c r="O308" t="s">
        <v>3178</v>
      </c>
      <c r="P308" t="s">
        <v>680</v>
      </c>
      <c r="Q308" t="s">
        <v>3179</v>
      </c>
      <c r="R308" t="s">
        <v>3180</v>
      </c>
    </row>
    <row r="309" spans="1:18">
      <c r="A309" s="2" t="str">
        <f>HYPERLINK("https://investorlist.com/investor/al-dhow-capital?ref=Excel_ViewProfile","View Profile")</f>
        <v>View Profile</v>
      </c>
      <c r="B309" t="s">
        <v>3181</v>
      </c>
      <c r="C309" t="s">
        <v>19</v>
      </c>
      <c r="D309" t="s">
        <v>3182</v>
      </c>
      <c r="E309" t="s">
        <v>38</v>
      </c>
      <c r="F309" t="s">
        <v>46</v>
      </c>
      <c r="G309" t="s">
        <v>3183</v>
      </c>
      <c r="H309" t="s">
        <v>38</v>
      </c>
      <c r="I309" t="s">
        <v>3184</v>
      </c>
      <c r="J309" t="s">
        <v>3185</v>
      </c>
      <c r="K309" t="s">
        <v>3186</v>
      </c>
      <c r="L309" t="s">
        <v>38</v>
      </c>
      <c r="M309" t="s">
        <v>64</v>
      </c>
      <c r="N309" t="s">
        <v>19</v>
      </c>
      <c r="O309" t="s">
        <v>177</v>
      </c>
      <c r="P309" t="s">
        <v>3187</v>
      </c>
      <c r="Q309" t="s">
        <v>38</v>
      </c>
      <c r="R309" t="s">
        <v>38</v>
      </c>
    </row>
    <row r="310" spans="1:18">
      <c r="A310" s="2" t="str">
        <f>HYPERLINK("https://investorlist.com/investor/maven-growth-partners?ref=Excel_ViewProfile","View Profile")</f>
        <v>View Profile</v>
      </c>
      <c r="B310" t="s">
        <v>3188</v>
      </c>
      <c r="C310" t="s">
        <v>19</v>
      </c>
      <c r="D310" t="s">
        <v>38</v>
      </c>
      <c r="E310" t="s">
        <v>38</v>
      </c>
      <c r="F310" t="s">
        <v>210</v>
      </c>
      <c r="G310" t="s">
        <v>3189</v>
      </c>
      <c r="H310" t="s">
        <v>38</v>
      </c>
      <c r="I310" t="s">
        <v>3190</v>
      </c>
      <c r="J310" t="s">
        <v>38</v>
      </c>
      <c r="K310" t="s">
        <v>3191</v>
      </c>
      <c r="L310">
        <v>0</v>
      </c>
      <c r="M310" t="s">
        <v>737</v>
      </c>
      <c r="N310" t="s">
        <v>19</v>
      </c>
      <c r="O310" t="s">
        <v>3192</v>
      </c>
      <c r="P310" t="s">
        <v>1899</v>
      </c>
      <c r="Q310" t="s">
        <v>3193</v>
      </c>
      <c r="R310" t="s">
        <v>38</v>
      </c>
    </row>
    <row r="311" spans="1:18">
      <c r="A311" s="2" t="str">
        <f>HYPERLINK("https://investorlist.com/investor/tembusu-partners?ref=Excel_ViewProfile","View Profile")</f>
        <v>View Profile</v>
      </c>
      <c r="B311" t="s">
        <v>3194</v>
      </c>
      <c r="C311" t="s">
        <v>181</v>
      </c>
      <c r="D311" t="s">
        <v>3195</v>
      </c>
      <c r="E311" t="s">
        <v>38</v>
      </c>
      <c r="F311" t="s">
        <v>210</v>
      </c>
      <c r="G311" t="s">
        <v>3196</v>
      </c>
      <c r="H311" t="s">
        <v>38</v>
      </c>
      <c r="I311" t="s">
        <v>3197</v>
      </c>
      <c r="J311" t="s">
        <v>3198</v>
      </c>
      <c r="K311" t="s">
        <v>3199</v>
      </c>
      <c r="L311">
        <v>2006</v>
      </c>
      <c r="M311" t="s">
        <v>3200</v>
      </c>
      <c r="N311" t="s">
        <v>3201</v>
      </c>
      <c r="O311" t="s">
        <v>3202</v>
      </c>
      <c r="P311" t="s">
        <v>3203</v>
      </c>
      <c r="Q311" t="s">
        <v>3204</v>
      </c>
      <c r="R311" t="s">
        <v>3205</v>
      </c>
    </row>
    <row r="312" spans="1:18">
      <c r="A312" s="2" t="str">
        <f>HYPERLINK("https://investorlist.com/investor/transpacific-venture-capital-partners?ref=Excel_ViewProfile","View Profile")</f>
        <v>View Profile</v>
      </c>
      <c r="B312" t="s">
        <v>3206</v>
      </c>
      <c r="C312" t="s">
        <v>19</v>
      </c>
      <c r="D312" t="s">
        <v>3207</v>
      </c>
      <c r="E312" t="s">
        <v>312</v>
      </c>
      <c r="F312" t="s">
        <v>198</v>
      </c>
      <c r="G312" t="s">
        <v>3208</v>
      </c>
      <c r="H312" t="s">
        <v>38</v>
      </c>
      <c r="I312" t="s">
        <v>3209</v>
      </c>
      <c r="J312" t="s">
        <v>38</v>
      </c>
      <c r="K312" t="s">
        <v>3210</v>
      </c>
      <c r="L312">
        <v>0</v>
      </c>
      <c r="M312" t="s">
        <v>1302</v>
      </c>
      <c r="N312" t="s">
        <v>19</v>
      </c>
      <c r="O312" t="s">
        <v>3211</v>
      </c>
      <c r="P312" t="s">
        <v>3212</v>
      </c>
      <c r="Q312" t="s">
        <v>3213</v>
      </c>
      <c r="R312" t="s">
        <v>38</v>
      </c>
    </row>
    <row r="313" spans="1:18">
      <c r="A313" s="2" t="str">
        <f>HYPERLINK("https://investorlist.com/investor/breakout-capital?ref=Excel_ViewProfile","View Profile")</f>
        <v>View Profile</v>
      </c>
      <c r="B313" t="s">
        <v>3214</v>
      </c>
      <c r="C313" t="s">
        <v>181</v>
      </c>
      <c r="D313" t="s">
        <v>3215</v>
      </c>
      <c r="E313" t="s">
        <v>324</v>
      </c>
      <c r="F313" t="s">
        <v>198</v>
      </c>
      <c r="G313" t="s">
        <v>3216</v>
      </c>
      <c r="H313" t="s">
        <v>3217</v>
      </c>
      <c r="I313" t="s">
        <v>3218</v>
      </c>
      <c r="J313" t="s">
        <v>3219</v>
      </c>
      <c r="K313" t="s">
        <v>3220</v>
      </c>
      <c r="L313">
        <v>2022</v>
      </c>
      <c r="M313" t="s">
        <v>282</v>
      </c>
      <c r="N313" t="s">
        <v>181</v>
      </c>
      <c r="O313" t="s">
        <v>2929</v>
      </c>
      <c r="P313" t="s">
        <v>3221</v>
      </c>
      <c r="Q313" t="s">
        <v>3222</v>
      </c>
      <c r="R313" t="s">
        <v>38</v>
      </c>
    </row>
    <row r="314" spans="1:18">
      <c r="A314" s="2" t="str">
        <f>HYPERLINK("https://investorlist.com/investor/chimera-vc?ref=Excel_ViewProfile","View Profile")</f>
        <v>View Profile</v>
      </c>
      <c r="B314" t="s">
        <v>3223</v>
      </c>
      <c r="C314" t="s">
        <v>19</v>
      </c>
      <c r="D314" t="s">
        <v>3224</v>
      </c>
      <c r="E314" t="s">
        <v>2020</v>
      </c>
      <c r="F314" t="s">
        <v>572</v>
      </c>
      <c r="G314" t="s">
        <v>3225</v>
      </c>
      <c r="H314" t="s">
        <v>38</v>
      </c>
      <c r="I314" t="s">
        <v>3226</v>
      </c>
      <c r="J314" t="s">
        <v>38</v>
      </c>
      <c r="K314" t="s">
        <v>3227</v>
      </c>
      <c r="L314" t="s">
        <v>38</v>
      </c>
      <c r="M314" t="s">
        <v>677</v>
      </c>
      <c r="N314" t="s">
        <v>19</v>
      </c>
      <c r="O314" t="s">
        <v>3228</v>
      </c>
      <c r="P314" t="s">
        <v>2942</v>
      </c>
      <c r="Q314" t="s">
        <v>38</v>
      </c>
      <c r="R314" t="s">
        <v>38</v>
      </c>
    </row>
    <row r="315" spans="1:18">
      <c r="A315" s="2" t="str">
        <f>HYPERLINK("https://investorlist.com/investor/international-holding-company?ref=Excel_ViewProfile","View Profile")</f>
        <v>View Profile</v>
      </c>
      <c r="B315" t="s">
        <v>3229</v>
      </c>
      <c r="C315" t="s">
        <v>250</v>
      </c>
      <c r="D315" t="s">
        <v>3230</v>
      </c>
      <c r="E315" t="s">
        <v>21</v>
      </c>
      <c r="F315" t="s">
        <v>22</v>
      </c>
      <c r="G315" t="s">
        <v>3231</v>
      </c>
      <c r="H315" t="s">
        <v>3232</v>
      </c>
      <c r="I315" t="s">
        <v>3233</v>
      </c>
      <c r="J315" t="s">
        <v>3234</v>
      </c>
      <c r="K315" t="s">
        <v>3235</v>
      </c>
      <c r="L315">
        <v>1998</v>
      </c>
      <c r="M315" t="s">
        <v>28</v>
      </c>
      <c r="N315" t="s">
        <v>3236</v>
      </c>
      <c r="O315" t="s">
        <v>3237</v>
      </c>
      <c r="P315" t="s">
        <v>3238</v>
      </c>
      <c r="Q315" t="s">
        <v>3239</v>
      </c>
      <c r="R315" t="s">
        <v>3240</v>
      </c>
    </row>
    <row r="316" spans="1:18">
      <c r="A316" s="2" t="str">
        <f>HYPERLINK("https://investorlist.com/investor/fung-investments?ref=Excel_ViewProfile","View Profile")</f>
        <v>View Profile</v>
      </c>
      <c r="B316" t="s">
        <v>3241</v>
      </c>
      <c r="C316" t="s">
        <v>136</v>
      </c>
      <c r="D316" t="s">
        <v>2758</v>
      </c>
      <c r="E316" t="s">
        <v>38</v>
      </c>
      <c r="F316" t="s">
        <v>585</v>
      </c>
      <c r="G316" t="s">
        <v>3242</v>
      </c>
      <c r="H316" t="s">
        <v>38</v>
      </c>
      <c r="I316" t="s">
        <v>3243</v>
      </c>
      <c r="J316" t="s">
        <v>38</v>
      </c>
      <c r="K316" t="s">
        <v>3244</v>
      </c>
      <c r="L316">
        <v>0</v>
      </c>
      <c r="M316" t="s">
        <v>229</v>
      </c>
      <c r="N316" t="s">
        <v>3245</v>
      </c>
      <c r="O316" t="s">
        <v>3246</v>
      </c>
      <c r="P316" t="s">
        <v>3247</v>
      </c>
      <c r="Q316" t="s">
        <v>3248</v>
      </c>
      <c r="R316" t="s">
        <v>3249</v>
      </c>
    </row>
    <row r="317" spans="1:18">
      <c r="A317" s="2" t="str">
        <f>HYPERLINK("https://investorlist.com/investor/reinventure-group?ref=Excel_ViewProfile","View Profile")</f>
        <v>View Profile</v>
      </c>
      <c r="B317" t="s">
        <v>3250</v>
      </c>
      <c r="C317" t="s">
        <v>530</v>
      </c>
      <c r="D317" t="s">
        <v>3251</v>
      </c>
      <c r="E317" t="s">
        <v>3252</v>
      </c>
      <c r="F317" t="s">
        <v>2008</v>
      </c>
      <c r="G317" t="s">
        <v>3253</v>
      </c>
      <c r="H317" t="s">
        <v>3254</v>
      </c>
      <c r="I317" t="s">
        <v>3255</v>
      </c>
      <c r="J317" t="s">
        <v>3256</v>
      </c>
      <c r="K317" t="s">
        <v>3257</v>
      </c>
      <c r="L317">
        <v>2014</v>
      </c>
      <c r="M317" t="s">
        <v>3258</v>
      </c>
      <c r="N317" t="s">
        <v>19</v>
      </c>
      <c r="O317" t="s">
        <v>3259</v>
      </c>
      <c r="P317" t="s">
        <v>3260</v>
      </c>
      <c r="Q317" t="s">
        <v>3261</v>
      </c>
      <c r="R317" t="s">
        <v>3262</v>
      </c>
    </row>
    <row r="318" spans="1:18">
      <c r="A318" s="2" t="str">
        <f>HYPERLINK("https://investorlist.com/investor/aavishkaar-group?ref=Excel_ViewProfile","View Profile")</f>
        <v>View Profile</v>
      </c>
      <c r="B318" t="s">
        <v>3263</v>
      </c>
      <c r="C318" t="s">
        <v>181</v>
      </c>
      <c r="D318" t="s">
        <v>3264</v>
      </c>
      <c r="E318" t="s">
        <v>1329</v>
      </c>
      <c r="F318" t="s">
        <v>572</v>
      </c>
      <c r="G318" t="s">
        <v>3265</v>
      </c>
      <c r="H318" t="s">
        <v>3266</v>
      </c>
      <c r="I318" t="s">
        <v>3267</v>
      </c>
      <c r="J318" t="s">
        <v>3268</v>
      </c>
      <c r="K318" t="s">
        <v>3269</v>
      </c>
      <c r="L318" t="s">
        <v>38</v>
      </c>
      <c r="M318" t="s">
        <v>118</v>
      </c>
      <c r="N318" t="s">
        <v>1972</v>
      </c>
      <c r="O318" t="s">
        <v>3270</v>
      </c>
      <c r="P318" t="s">
        <v>3271</v>
      </c>
      <c r="Q318" t="s">
        <v>38</v>
      </c>
      <c r="R318" t="s">
        <v>38</v>
      </c>
    </row>
    <row r="319" spans="1:18">
      <c r="A319" s="2" t="str">
        <f>HYPERLINK("https://investorlist.com/investor/a-amal-group?ref=Excel_ViewProfile","View Profile")</f>
        <v>View Profile</v>
      </c>
      <c r="B319" t="s">
        <v>3272</v>
      </c>
      <c r="C319" t="s">
        <v>136</v>
      </c>
      <c r="D319" t="s">
        <v>3273</v>
      </c>
      <c r="E319" t="s">
        <v>470</v>
      </c>
      <c r="F319" t="s">
        <v>301</v>
      </c>
      <c r="G319" t="s">
        <v>3274</v>
      </c>
      <c r="H319" t="s">
        <v>3275</v>
      </c>
      <c r="I319" t="s">
        <v>3276</v>
      </c>
      <c r="J319" t="s">
        <v>3277</v>
      </c>
      <c r="K319" t="s">
        <v>3278</v>
      </c>
      <c r="L319" t="s">
        <v>38</v>
      </c>
      <c r="M319" t="s">
        <v>202</v>
      </c>
      <c r="N319" t="s">
        <v>3279</v>
      </c>
      <c r="O319" t="s">
        <v>3280</v>
      </c>
      <c r="P319" t="s">
        <v>3281</v>
      </c>
      <c r="Q319" t="s">
        <v>38</v>
      </c>
      <c r="R319" t="s">
        <v>38</v>
      </c>
    </row>
    <row r="320" spans="1:18">
      <c r="A320" s="2" t="str">
        <f>HYPERLINK("https://investorlist.com/investor/sosv-mox?ref=Excel_ViewProfile","View Profile")</f>
        <v>View Profile</v>
      </c>
      <c r="B320" t="s">
        <v>3282</v>
      </c>
      <c r="C320" t="s">
        <v>19</v>
      </c>
      <c r="D320" t="s">
        <v>3283</v>
      </c>
      <c r="E320" t="s">
        <v>312</v>
      </c>
      <c r="F320" t="s">
        <v>198</v>
      </c>
      <c r="G320" t="s">
        <v>3284</v>
      </c>
      <c r="H320" t="s">
        <v>38</v>
      </c>
      <c r="I320" t="s">
        <v>3285</v>
      </c>
      <c r="J320" t="s">
        <v>3286</v>
      </c>
      <c r="K320" t="s">
        <v>3287</v>
      </c>
      <c r="L320">
        <v>2011</v>
      </c>
      <c r="M320" t="s">
        <v>1739</v>
      </c>
      <c r="N320" t="s">
        <v>19</v>
      </c>
      <c r="O320" t="s">
        <v>3288</v>
      </c>
      <c r="P320" t="s">
        <v>3289</v>
      </c>
      <c r="Q320" t="s">
        <v>3290</v>
      </c>
      <c r="R320" t="s">
        <v>3291</v>
      </c>
    </row>
    <row r="321" spans="1:18">
      <c r="A321" s="2" t="str">
        <f>HYPERLINK("https://investorlist.com/investor/capton-energy?ref=Excel_ViewProfile","View Profile")</f>
        <v>View Profile</v>
      </c>
      <c r="B321" t="s">
        <v>3292</v>
      </c>
      <c r="C321" t="s">
        <v>136</v>
      </c>
      <c r="D321" t="s">
        <v>92</v>
      </c>
      <c r="E321" t="s">
        <v>38</v>
      </c>
      <c r="F321" t="s">
        <v>22</v>
      </c>
      <c r="G321" t="s">
        <v>3293</v>
      </c>
      <c r="H321" t="s">
        <v>3294</v>
      </c>
      <c r="I321" t="s">
        <v>3295</v>
      </c>
      <c r="J321" t="s">
        <v>3296</v>
      </c>
      <c r="K321" t="s">
        <v>3297</v>
      </c>
      <c r="L321">
        <v>2022</v>
      </c>
      <c r="M321" t="s">
        <v>2188</v>
      </c>
      <c r="N321" t="s">
        <v>3298</v>
      </c>
      <c r="O321" t="s">
        <v>3299</v>
      </c>
      <c r="P321" t="s">
        <v>3300</v>
      </c>
      <c r="Q321" t="s">
        <v>3301</v>
      </c>
      <c r="R321" t="s">
        <v>3302</v>
      </c>
    </row>
    <row r="322" spans="1:18">
      <c r="A322" s="2" t="str">
        <f>HYPERLINK("https://investorlist.com/investor/wp2-investments?ref=Excel_ViewProfile","View Profile")</f>
        <v>View Profile</v>
      </c>
      <c r="B322" t="s">
        <v>3303</v>
      </c>
      <c r="C322" t="s">
        <v>162</v>
      </c>
      <c r="D322" t="s">
        <v>3304</v>
      </c>
      <c r="E322" t="s">
        <v>38</v>
      </c>
      <c r="F322" t="s">
        <v>3305</v>
      </c>
      <c r="G322" t="s">
        <v>3306</v>
      </c>
      <c r="H322" t="s">
        <v>3307</v>
      </c>
      <c r="I322" t="s">
        <v>3308</v>
      </c>
      <c r="J322" t="s">
        <v>38</v>
      </c>
      <c r="K322" t="s">
        <v>3309</v>
      </c>
      <c r="L322">
        <v>2021</v>
      </c>
      <c r="M322" t="s">
        <v>2482</v>
      </c>
      <c r="N322" t="s">
        <v>119</v>
      </c>
      <c r="O322" t="s">
        <v>3310</v>
      </c>
      <c r="P322" t="s">
        <v>3311</v>
      </c>
      <c r="Q322" t="s">
        <v>3312</v>
      </c>
      <c r="R322" t="s">
        <v>3313</v>
      </c>
    </row>
    <row r="323" spans="1:18">
      <c r="A323" s="2" t="str">
        <f>HYPERLINK("https://investorlist.com/investor/dimensional-fund-advisors-lp?ref=Excel_ViewProfile","View Profile")</f>
        <v>View Profile</v>
      </c>
      <c r="B323" t="s">
        <v>3314</v>
      </c>
      <c r="C323" t="s">
        <v>1424</v>
      </c>
      <c r="D323" t="s">
        <v>3315</v>
      </c>
      <c r="E323" t="s">
        <v>913</v>
      </c>
      <c r="F323" t="s">
        <v>198</v>
      </c>
      <c r="G323" t="s">
        <v>3316</v>
      </c>
      <c r="H323" t="s">
        <v>3317</v>
      </c>
      <c r="I323" t="s">
        <v>3318</v>
      </c>
      <c r="J323" t="s">
        <v>3319</v>
      </c>
      <c r="K323" t="s">
        <v>3320</v>
      </c>
      <c r="L323" t="s">
        <v>38</v>
      </c>
      <c r="M323" t="s">
        <v>1539</v>
      </c>
      <c r="N323" t="s">
        <v>3321</v>
      </c>
      <c r="O323" t="s">
        <v>3322</v>
      </c>
      <c r="P323" t="s">
        <v>3323</v>
      </c>
      <c r="Q323" t="s">
        <v>38</v>
      </c>
      <c r="R323" t="s">
        <v>38</v>
      </c>
    </row>
    <row r="324" spans="1:18">
      <c r="A324" s="2" t="str">
        <f>HYPERLINK("https://investorlist.com/investor/sawiris-family-office?ref=Excel_ViewProfile","View Profile")</f>
        <v>View Profile</v>
      </c>
      <c r="B324" t="s">
        <v>3324</v>
      </c>
      <c r="C324" t="s">
        <v>162</v>
      </c>
      <c r="D324" t="s">
        <v>3325</v>
      </c>
      <c r="E324" t="s">
        <v>2172</v>
      </c>
      <c r="F324" t="s">
        <v>265</v>
      </c>
      <c r="G324" t="s">
        <v>3326</v>
      </c>
      <c r="H324" t="s">
        <v>38</v>
      </c>
      <c r="I324" t="s">
        <v>3327</v>
      </c>
      <c r="J324" t="s">
        <v>38</v>
      </c>
      <c r="K324" t="s">
        <v>3328</v>
      </c>
      <c r="L324" t="s">
        <v>38</v>
      </c>
      <c r="M324" t="s">
        <v>229</v>
      </c>
      <c r="N324" t="s">
        <v>3329</v>
      </c>
      <c r="O324" t="s">
        <v>3330</v>
      </c>
      <c r="P324" t="s">
        <v>3331</v>
      </c>
      <c r="Q324" t="s">
        <v>38</v>
      </c>
      <c r="R324" t="s">
        <v>38</v>
      </c>
    </row>
    <row r="325" spans="1:18">
      <c r="A325" s="2" t="str">
        <f>HYPERLINK("https://investorlist.com/investor/responsability-investments-ag?ref=Excel_ViewProfile","View Profile")</f>
        <v>View Profile</v>
      </c>
      <c r="B325" t="s">
        <v>3332</v>
      </c>
      <c r="C325" t="s">
        <v>250</v>
      </c>
      <c r="D325" t="s">
        <v>3333</v>
      </c>
      <c r="E325" t="s">
        <v>1114</v>
      </c>
      <c r="F325" t="s">
        <v>1115</v>
      </c>
      <c r="G325" t="s">
        <v>3334</v>
      </c>
      <c r="H325" t="s">
        <v>3335</v>
      </c>
      <c r="I325" t="s">
        <v>3336</v>
      </c>
      <c r="J325" t="s">
        <v>3337</v>
      </c>
      <c r="K325" t="s">
        <v>3338</v>
      </c>
      <c r="L325">
        <v>2003</v>
      </c>
      <c r="M325" t="s">
        <v>3339</v>
      </c>
      <c r="N325" t="s">
        <v>3340</v>
      </c>
      <c r="O325" t="s">
        <v>3341</v>
      </c>
      <c r="P325" t="s">
        <v>3342</v>
      </c>
      <c r="Q325" t="s">
        <v>3343</v>
      </c>
      <c r="R325" t="s">
        <v>3344</v>
      </c>
    </row>
    <row r="326" spans="1:18">
      <c r="A326" s="2" t="str">
        <f>HYPERLINK("https://investorlist.com/investor/grameen-credit-agricole-foundation?ref=Excel_ViewProfile","View Profile")</f>
        <v>View Profile</v>
      </c>
      <c r="B326" t="s">
        <v>3345</v>
      </c>
      <c r="C326" t="s">
        <v>35</v>
      </c>
      <c r="D326" t="s">
        <v>3346</v>
      </c>
      <c r="E326" t="s">
        <v>38</v>
      </c>
      <c r="F326" t="s">
        <v>3347</v>
      </c>
      <c r="G326" t="s">
        <v>3348</v>
      </c>
      <c r="H326" t="s">
        <v>38</v>
      </c>
      <c r="I326" t="s">
        <v>3349</v>
      </c>
      <c r="J326" t="s">
        <v>38</v>
      </c>
      <c r="K326" t="s">
        <v>3350</v>
      </c>
      <c r="L326" t="s">
        <v>38</v>
      </c>
      <c r="M326" t="s">
        <v>118</v>
      </c>
      <c r="N326" t="s">
        <v>1972</v>
      </c>
      <c r="O326" t="s">
        <v>3351</v>
      </c>
      <c r="P326" t="s">
        <v>3352</v>
      </c>
      <c r="Q326" t="s">
        <v>38</v>
      </c>
      <c r="R326" t="s">
        <v>38</v>
      </c>
    </row>
    <row r="327" spans="1:18">
      <c r="A327" s="2" t="str">
        <f>HYPERLINK("https://investorlist.com/investor/abler-nordic?ref=Excel_ViewProfile","View Profile")</f>
        <v>View Profile</v>
      </c>
      <c r="B327" t="s">
        <v>3353</v>
      </c>
      <c r="C327" t="s">
        <v>181</v>
      </c>
      <c r="D327" t="s">
        <v>3354</v>
      </c>
      <c r="E327" t="s">
        <v>2239</v>
      </c>
      <c r="F327" t="s">
        <v>2240</v>
      </c>
      <c r="G327" t="s">
        <v>3355</v>
      </c>
      <c r="H327" t="s">
        <v>38</v>
      </c>
      <c r="I327" t="s">
        <v>3356</v>
      </c>
      <c r="J327" t="s">
        <v>38</v>
      </c>
      <c r="K327" t="s">
        <v>3357</v>
      </c>
      <c r="L327">
        <v>2008</v>
      </c>
      <c r="M327" t="s">
        <v>118</v>
      </c>
      <c r="N327" t="s">
        <v>1972</v>
      </c>
      <c r="O327" t="s">
        <v>3358</v>
      </c>
      <c r="P327" t="s">
        <v>3359</v>
      </c>
      <c r="Q327" t="s">
        <v>3360</v>
      </c>
      <c r="R327" t="s">
        <v>3361</v>
      </c>
    </row>
    <row r="328" spans="1:18">
      <c r="A328" s="2" t="str">
        <f>HYPERLINK("https://investorlist.com/investor/pathdao?ref=Excel_ViewProfile","View Profile")</f>
        <v>View Profile</v>
      </c>
      <c r="B328" t="s">
        <v>3362</v>
      </c>
      <c r="C328" t="s">
        <v>19</v>
      </c>
      <c r="D328" t="s">
        <v>38</v>
      </c>
      <c r="E328" t="s">
        <v>38</v>
      </c>
      <c r="F328" t="s">
        <v>1787</v>
      </c>
      <c r="G328" t="s">
        <v>3363</v>
      </c>
      <c r="H328" t="s">
        <v>3364</v>
      </c>
      <c r="I328" t="s">
        <v>3365</v>
      </c>
      <c r="J328" t="s">
        <v>38</v>
      </c>
      <c r="K328" t="s">
        <v>3366</v>
      </c>
      <c r="L328">
        <v>2021</v>
      </c>
      <c r="M328" t="s">
        <v>600</v>
      </c>
      <c r="N328" t="s">
        <v>487</v>
      </c>
      <c r="O328" t="s">
        <v>3367</v>
      </c>
      <c r="P328" t="s">
        <v>3368</v>
      </c>
      <c r="Q328" t="s">
        <v>3369</v>
      </c>
      <c r="R328" t="s">
        <v>3370</v>
      </c>
    </row>
    <row r="329" spans="1:18">
      <c r="A329" s="2" t="str">
        <f>HYPERLINK("https://investorlist.com/investor/jacobs-foundation?ref=Excel_ViewProfile","View Profile")</f>
        <v>View Profile</v>
      </c>
      <c r="B329" t="s">
        <v>3371</v>
      </c>
      <c r="C329" t="s">
        <v>35</v>
      </c>
      <c r="D329" t="s">
        <v>3372</v>
      </c>
      <c r="E329" t="s">
        <v>38</v>
      </c>
      <c r="F329" t="s">
        <v>1115</v>
      </c>
      <c r="G329" t="s">
        <v>3373</v>
      </c>
      <c r="H329" t="s">
        <v>3374</v>
      </c>
      <c r="I329" t="s">
        <v>3375</v>
      </c>
      <c r="J329" t="s">
        <v>3376</v>
      </c>
      <c r="K329" t="s">
        <v>3377</v>
      </c>
      <c r="L329">
        <v>1988</v>
      </c>
      <c r="M329" t="s">
        <v>1302</v>
      </c>
      <c r="N329" t="s">
        <v>131</v>
      </c>
      <c r="O329" t="s">
        <v>3378</v>
      </c>
      <c r="P329" t="s">
        <v>3379</v>
      </c>
      <c r="Q329" t="s">
        <v>3380</v>
      </c>
      <c r="R329" t="s">
        <v>38</v>
      </c>
    </row>
    <row r="330" spans="1:18">
      <c r="A330" s="2" t="str">
        <f>HYPERLINK("https://investorlist.com/investor/macquarie-emerging-markets-fund?ref=Excel_ViewProfile","View Profile")</f>
        <v>View Profile</v>
      </c>
      <c r="B330" t="s">
        <v>3381</v>
      </c>
      <c r="C330" t="s">
        <v>1424</v>
      </c>
      <c r="D330" t="s">
        <v>3382</v>
      </c>
      <c r="E330" t="s">
        <v>3252</v>
      </c>
      <c r="F330" t="s">
        <v>2008</v>
      </c>
      <c r="G330" t="s">
        <v>3383</v>
      </c>
      <c r="H330" t="s">
        <v>38</v>
      </c>
      <c r="I330" t="s">
        <v>3384</v>
      </c>
      <c r="J330" t="s">
        <v>3385</v>
      </c>
      <c r="K330" t="s">
        <v>3386</v>
      </c>
      <c r="L330">
        <v>0</v>
      </c>
      <c r="M330" t="s">
        <v>1539</v>
      </c>
      <c r="N330" t="s">
        <v>3321</v>
      </c>
      <c r="O330" t="s">
        <v>3387</v>
      </c>
      <c r="P330" t="s">
        <v>3388</v>
      </c>
      <c r="Q330" t="s">
        <v>38</v>
      </c>
      <c r="R330" t="s">
        <v>38</v>
      </c>
    </row>
    <row r="331" spans="1:18">
      <c r="A331" s="2" t="str">
        <f>HYPERLINK("https://investorlist.com/investor/tawoos-group?ref=Excel_ViewProfile","View Profile")</f>
        <v>View Profile</v>
      </c>
      <c r="B331" t="s">
        <v>3389</v>
      </c>
      <c r="C331" t="s">
        <v>162</v>
      </c>
      <c r="D331" t="s">
        <v>3390</v>
      </c>
      <c r="E331" t="s">
        <v>3391</v>
      </c>
      <c r="F331" t="s">
        <v>3075</v>
      </c>
      <c r="G331" t="s">
        <v>3392</v>
      </c>
      <c r="H331" t="s">
        <v>38</v>
      </c>
      <c r="I331" t="s">
        <v>3393</v>
      </c>
      <c r="J331" t="s">
        <v>3394</v>
      </c>
      <c r="K331" t="s">
        <v>3395</v>
      </c>
      <c r="L331">
        <v>1982</v>
      </c>
      <c r="M331" t="s">
        <v>343</v>
      </c>
      <c r="N331" t="s">
        <v>3396</v>
      </c>
      <c r="O331" t="s">
        <v>3397</v>
      </c>
      <c r="P331" t="s">
        <v>3398</v>
      </c>
      <c r="Q331" t="s">
        <v>3399</v>
      </c>
      <c r="R331" t="s">
        <v>3400</v>
      </c>
    </row>
    <row r="332" spans="1:18">
      <c r="A332" s="2" t="str">
        <f>HYPERLINK("https://investorlist.com/investor/symphony-international-holdings-limited?ref=Excel_ViewProfile","View Profile")</f>
        <v>View Profile</v>
      </c>
      <c r="B332" t="s">
        <v>3401</v>
      </c>
      <c r="C332" t="s">
        <v>181</v>
      </c>
      <c r="D332" t="s">
        <v>3402</v>
      </c>
      <c r="E332" t="s">
        <v>606</v>
      </c>
      <c r="F332" t="s">
        <v>210</v>
      </c>
      <c r="G332" t="s">
        <v>3403</v>
      </c>
      <c r="H332" t="s">
        <v>38</v>
      </c>
      <c r="I332" t="s">
        <v>640</v>
      </c>
      <c r="J332" t="s">
        <v>641</v>
      </c>
      <c r="K332" t="s">
        <v>3404</v>
      </c>
      <c r="L332" t="s">
        <v>38</v>
      </c>
      <c r="M332" t="s">
        <v>3405</v>
      </c>
      <c r="N332" t="s">
        <v>167</v>
      </c>
      <c r="O332" t="s">
        <v>3406</v>
      </c>
      <c r="P332" t="s">
        <v>2221</v>
      </c>
      <c r="Q332" t="s">
        <v>38</v>
      </c>
      <c r="R332" t="s">
        <v>38</v>
      </c>
    </row>
    <row r="333" spans="1:18">
      <c r="A333" s="2" t="str">
        <f>HYPERLINK("https://investorlist.com/investor/grand-decade-developments-limited?ref=Excel_ViewProfile","View Profile")</f>
        <v>View Profile</v>
      </c>
      <c r="B333" t="s">
        <v>3407</v>
      </c>
      <c r="C333" t="s">
        <v>136</v>
      </c>
      <c r="D333" t="s">
        <v>3408</v>
      </c>
      <c r="E333" t="s">
        <v>38</v>
      </c>
      <c r="F333" t="s">
        <v>585</v>
      </c>
      <c r="G333" t="s">
        <v>3409</v>
      </c>
      <c r="H333" t="s">
        <v>38</v>
      </c>
      <c r="I333" t="s">
        <v>3410</v>
      </c>
      <c r="J333" t="s">
        <v>38</v>
      </c>
      <c r="K333" t="s">
        <v>3411</v>
      </c>
      <c r="L333">
        <v>2005</v>
      </c>
      <c r="M333" t="s">
        <v>2188</v>
      </c>
      <c r="N333" t="s">
        <v>3412</v>
      </c>
      <c r="O333" t="s">
        <v>3413</v>
      </c>
      <c r="P333" t="s">
        <v>3414</v>
      </c>
      <c r="Q333" t="s">
        <v>3415</v>
      </c>
      <c r="R333" t="s">
        <v>3416</v>
      </c>
    </row>
    <row r="334" spans="1:18">
      <c r="A334" s="2" t="str">
        <f>HYPERLINK("https://investorlist.com/investor/gt-healthcare-capital-partners?ref=Excel_ViewProfile","View Profile")</f>
        <v>View Profile</v>
      </c>
      <c r="B334" t="s">
        <v>3417</v>
      </c>
      <c r="C334" t="s">
        <v>181</v>
      </c>
      <c r="D334" t="s">
        <v>2758</v>
      </c>
      <c r="E334" t="s">
        <v>38</v>
      </c>
      <c r="F334" t="s">
        <v>225</v>
      </c>
      <c r="G334" t="s">
        <v>3418</v>
      </c>
      <c r="H334" t="s">
        <v>38</v>
      </c>
      <c r="I334" t="s">
        <v>3419</v>
      </c>
      <c r="J334" t="s">
        <v>3420</v>
      </c>
      <c r="K334" t="s">
        <v>3421</v>
      </c>
      <c r="L334">
        <v>2017</v>
      </c>
      <c r="M334" t="s">
        <v>1302</v>
      </c>
      <c r="N334" t="s">
        <v>217</v>
      </c>
      <c r="O334" t="s">
        <v>3422</v>
      </c>
      <c r="P334" t="s">
        <v>3423</v>
      </c>
      <c r="Q334" t="s">
        <v>3424</v>
      </c>
      <c r="R334" t="s">
        <v>3425</v>
      </c>
    </row>
    <row r="335" spans="1:18">
      <c r="A335" s="2" t="str">
        <f>HYPERLINK("https://investorlist.com/investor/leafy-tunnel?ref=Excel_ViewProfile","View Profile")</f>
        <v>View Profile</v>
      </c>
      <c r="B335" t="s">
        <v>3426</v>
      </c>
      <c r="C335" t="s">
        <v>19</v>
      </c>
      <c r="D335" t="s">
        <v>3427</v>
      </c>
      <c r="E335" t="s">
        <v>934</v>
      </c>
      <c r="F335" t="s">
        <v>360</v>
      </c>
      <c r="G335" t="s">
        <v>3428</v>
      </c>
      <c r="H335" t="s">
        <v>38</v>
      </c>
      <c r="I335" t="s">
        <v>3429</v>
      </c>
      <c r="J335" t="s">
        <v>38</v>
      </c>
      <c r="K335" t="s">
        <v>3430</v>
      </c>
      <c r="L335">
        <v>2020</v>
      </c>
      <c r="M335" t="s">
        <v>1739</v>
      </c>
      <c r="N335" t="s">
        <v>3431</v>
      </c>
      <c r="O335" t="s">
        <v>3432</v>
      </c>
      <c r="P335" t="s">
        <v>3433</v>
      </c>
      <c r="Q335" t="s">
        <v>3434</v>
      </c>
      <c r="R335" t="s">
        <v>3435</v>
      </c>
    </row>
    <row r="336" spans="1:18">
      <c r="A336" s="2" t="str">
        <f>HYPERLINK("https://investorlist.com/investor/bill-melinda-gates-foundation-strategic-investment-fund?ref=Excel_ViewProfile","View Profile")</f>
        <v>View Profile</v>
      </c>
      <c r="B336" t="s">
        <v>3436</v>
      </c>
      <c r="C336" t="s">
        <v>35</v>
      </c>
      <c r="D336" t="s">
        <v>196</v>
      </c>
      <c r="E336" t="s">
        <v>197</v>
      </c>
      <c r="F336" t="s">
        <v>198</v>
      </c>
      <c r="G336" t="s">
        <v>3437</v>
      </c>
      <c r="H336" t="s">
        <v>38</v>
      </c>
      <c r="I336" t="s">
        <v>3438</v>
      </c>
      <c r="J336" t="s">
        <v>3439</v>
      </c>
      <c r="K336" t="s">
        <v>3440</v>
      </c>
      <c r="L336">
        <v>2016</v>
      </c>
      <c r="M336" t="s">
        <v>118</v>
      </c>
      <c r="N336" t="s">
        <v>1972</v>
      </c>
      <c r="O336" t="s">
        <v>3441</v>
      </c>
      <c r="P336" t="s">
        <v>3442</v>
      </c>
      <c r="Q336" t="s">
        <v>3443</v>
      </c>
      <c r="R336" t="s">
        <v>3444</v>
      </c>
    </row>
    <row r="337" spans="1:18">
      <c r="A337" s="2" t="str">
        <f>HYPERLINK("https://investorlist.com/investor/clermont-group?ref=Excel_ViewProfile","View Profile")</f>
        <v>View Profile</v>
      </c>
      <c r="B337" t="s">
        <v>3445</v>
      </c>
      <c r="C337" t="s">
        <v>136</v>
      </c>
      <c r="D337" t="s">
        <v>3446</v>
      </c>
      <c r="E337" t="s">
        <v>38</v>
      </c>
      <c r="F337" t="s">
        <v>210</v>
      </c>
      <c r="G337" t="s">
        <v>3447</v>
      </c>
      <c r="H337" t="s">
        <v>38</v>
      </c>
      <c r="I337" t="s">
        <v>3448</v>
      </c>
      <c r="J337" t="s">
        <v>3449</v>
      </c>
      <c r="K337" t="s">
        <v>3450</v>
      </c>
      <c r="L337">
        <v>2006</v>
      </c>
      <c r="M337" t="s">
        <v>229</v>
      </c>
      <c r="N337" t="s">
        <v>3451</v>
      </c>
      <c r="O337" t="s">
        <v>3452</v>
      </c>
      <c r="P337" t="s">
        <v>3453</v>
      </c>
      <c r="Q337" t="s">
        <v>3454</v>
      </c>
      <c r="R337" t="s">
        <v>3455</v>
      </c>
    </row>
    <row r="338" spans="1:18">
      <c r="A338" s="2" t="str">
        <f>HYPERLINK("https://investorlist.com/investor/alturki-ventures?ref=Excel_ViewProfile","View Profile")</f>
        <v>View Profile</v>
      </c>
      <c r="B338" t="s">
        <v>3456</v>
      </c>
      <c r="C338" t="s">
        <v>19</v>
      </c>
      <c r="D338" t="s">
        <v>3457</v>
      </c>
      <c r="E338" t="s">
        <v>38</v>
      </c>
      <c r="F338" t="s">
        <v>517</v>
      </c>
      <c r="G338" t="s">
        <v>3458</v>
      </c>
      <c r="H338" t="s">
        <v>38</v>
      </c>
      <c r="I338" t="s">
        <v>3459</v>
      </c>
      <c r="J338" t="s">
        <v>3460</v>
      </c>
      <c r="K338" t="s">
        <v>3461</v>
      </c>
      <c r="L338">
        <v>2018</v>
      </c>
      <c r="M338" t="s">
        <v>737</v>
      </c>
      <c r="N338" t="s">
        <v>19</v>
      </c>
      <c r="O338" t="s">
        <v>3462</v>
      </c>
      <c r="P338" t="s">
        <v>3463</v>
      </c>
      <c r="Q338" t="s">
        <v>3464</v>
      </c>
      <c r="R338" t="s">
        <v>38</v>
      </c>
    </row>
    <row r="339" spans="1:18">
      <c r="A339" s="2" t="str">
        <f>HYPERLINK("https://investorlist.com/investor/swc-global?ref=Excel_ViewProfile","View Profile")</f>
        <v>View Profile</v>
      </c>
      <c r="B339" t="s">
        <v>3465</v>
      </c>
      <c r="C339" t="s">
        <v>19</v>
      </c>
      <c r="D339" t="s">
        <v>3466</v>
      </c>
      <c r="E339" t="s">
        <v>38</v>
      </c>
      <c r="F339" t="s">
        <v>210</v>
      </c>
      <c r="G339" t="s">
        <v>3467</v>
      </c>
      <c r="H339" t="s">
        <v>38</v>
      </c>
      <c r="I339" t="s">
        <v>3468</v>
      </c>
      <c r="J339" t="s">
        <v>38</v>
      </c>
      <c r="K339" t="s">
        <v>3469</v>
      </c>
      <c r="L339">
        <v>2020</v>
      </c>
      <c r="M339" t="s">
        <v>3470</v>
      </c>
      <c r="N339" t="s">
        <v>19</v>
      </c>
      <c r="O339" t="s">
        <v>3471</v>
      </c>
      <c r="P339" t="s">
        <v>1552</v>
      </c>
      <c r="Q339" t="s">
        <v>3472</v>
      </c>
      <c r="R339" t="s">
        <v>3473</v>
      </c>
    </row>
    <row r="340" spans="1:18">
      <c r="A340" s="2" t="str">
        <f>HYPERLINK("https://investorlist.com/investor/otf-jasoor-ventures?ref=Excel_ViewProfile","View Profile")</f>
        <v>View Profile</v>
      </c>
      <c r="B340" t="s">
        <v>3474</v>
      </c>
      <c r="C340" t="s">
        <v>19</v>
      </c>
      <c r="D340" t="s">
        <v>3475</v>
      </c>
      <c r="E340" t="s">
        <v>3476</v>
      </c>
      <c r="F340" t="s">
        <v>3075</v>
      </c>
      <c r="G340" t="s">
        <v>3477</v>
      </c>
      <c r="H340" t="s">
        <v>38</v>
      </c>
      <c r="I340" t="s">
        <v>3478</v>
      </c>
      <c r="J340" t="s">
        <v>3479</v>
      </c>
      <c r="K340" t="s">
        <v>3480</v>
      </c>
      <c r="L340">
        <v>2017</v>
      </c>
      <c r="M340" t="s">
        <v>737</v>
      </c>
      <c r="N340" t="s">
        <v>19</v>
      </c>
      <c r="O340" t="s">
        <v>3481</v>
      </c>
      <c r="P340" t="s">
        <v>3482</v>
      </c>
      <c r="Q340" t="s">
        <v>3483</v>
      </c>
      <c r="R340" t="s">
        <v>3484</v>
      </c>
    </row>
    <row r="341" spans="1:18">
      <c r="A341" s="2" t="str">
        <f>HYPERLINK("https://investorlist.com/investor/capital-assets-llc?ref=Excel_ViewProfile","View Profile")</f>
        <v>View Profile</v>
      </c>
      <c r="B341" t="s">
        <v>3485</v>
      </c>
      <c r="C341" t="s">
        <v>136</v>
      </c>
      <c r="D341" t="s">
        <v>92</v>
      </c>
      <c r="E341" t="s">
        <v>38</v>
      </c>
      <c r="F341" t="s">
        <v>22</v>
      </c>
      <c r="G341" t="s">
        <v>3486</v>
      </c>
      <c r="H341" t="s">
        <v>38</v>
      </c>
      <c r="I341" t="s">
        <v>3487</v>
      </c>
      <c r="J341" t="s">
        <v>3488</v>
      </c>
      <c r="K341" t="s">
        <v>3489</v>
      </c>
      <c r="L341">
        <v>2008</v>
      </c>
      <c r="M341" t="s">
        <v>188</v>
      </c>
      <c r="N341" t="s">
        <v>3490</v>
      </c>
      <c r="O341" t="s">
        <v>3491</v>
      </c>
      <c r="P341" t="s">
        <v>3492</v>
      </c>
      <c r="Q341" t="s">
        <v>3493</v>
      </c>
      <c r="R341" t="s">
        <v>38</v>
      </c>
    </row>
    <row r="342" spans="1:18">
      <c r="A342" s="2" t="str">
        <f>HYPERLINK("https://investorlist.com/investor/al-ramz-capital?ref=Excel_ViewProfile","View Profile")</f>
        <v>View Profile</v>
      </c>
      <c r="B342" t="s">
        <v>3494</v>
      </c>
      <c r="C342" t="s">
        <v>250</v>
      </c>
      <c r="D342" t="s">
        <v>3495</v>
      </c>
      <c r="E342" t="s">
        <v>21</v>
      </c>
      <c r="F342" t="s">
        <v>22</v>
      </c>
      <c r="G342" t="s">
        <v>3496</v>
      </c>
      <c r="H342" t="s">
        <v>38</v>
      </c>
      <c r="I342" t="s">
        <v>3497</v>
      </c>
      <c r="J342" t="s">
        <v>3498</v>
      </c>
      <c r="K342" t="s">
        <v>3499</v>
      </c>
      <c r="L342">
        <v>1998</v>
      </c>
      <c r="M342" t="s">
        <v>343</v>
      </c>
      <c r="N342" t="s">
        <v>3500</v>
      </c>
      <c r="O342" t="s">
        <v>3501</v>
      </c>
      <c r="P342" t="s">
        <v>3502</v>
      </c>
      <c r="Q342" t="s">
        <v>3503</v>
      </c>
      <c r="R342" t="s">
        <v>3504</v>
      </c>
    </row>
    <row r="343" spans="1:18">
      <c r="A343" s="2" t="str">
        <f>HYPERLINK("https://investorlist.com/investor/eza-hill-property?ref=Excel_ViewProfile","View Profile")</f>
        <v>View Profile</v>
      </c>
      <c r="B343" t="s">
        <v>3505</v>
      </c>
      <c r="C343" t="s">
        <v>136</v>
      </c>
      <c r="D343" t="s">
        <v>38</v>
      </c>
      <c r="E343" t="s">
        <v>38</v>
      </c>
      <c r="F343" t="s">
        <v>210</v>
      </c>
      <c r="G343" t="s">
        <v>3506</v>
      </c>
      <c r="H343" t="s">
        <v>38</v>
      </c>
      <c r="I343" t="s">
        <v>3507</v>
      </c>
      <c r="J343" t="s">
        <v>38</v>
      </c>
      <c r="K343" t="s">
        <v>3508</v>
      </c>
      <c r="L343">
        <v>2021</v>
      </c>
      <c r="M343" t="s">
        <v>1539</v>
      </c>
      <c r="N343" t="s">
        <v>294</v>
      </c>
      <c r="O343" t="s">
        <v>3509</v>
      </c>
      <c r="P343" t="s">
        <v>3510</v>
      </c>
      <c r="Q343" t="s">
        <v>3511</v>
      </c>
      <c r="R343" t="s">
        <v>3512</v>
      </c>
    </row>
    <row r="344" spans="1:18">
      <c r="A344" s="2" t="str">
        <f>HYPERLINK("https://investorlist.com/investor/evolutionx-debt-capital?ref=Excel_ViewProfile","View Profile")</f>
        <v>View Profile</v>
      </c>
      <c r="B344" t="s">
        <v>3513</v>
      </c>
      <c r="C344" t="s">
        <v>3514</v>
      </c>
      <c r="D344" t="s">
        <v>606</v>
      </c>
      <c r="E344" t="s">
        <v>38</v>
      </c>
      <c r="F344" t="s">
        <v>210</v>
      </c>
      <c r="G344" t="s">
        <v>3515</v>
      </c>
      <c r="H344" t="s">
        <v>38</v>
      </c>
      <c r="I344" t="s">
        <v>3516</v>
      </c>
      <c r="J344" t="s">
        <v>38</v>
      </c>
      <c r="K344" t="s">
        <v>3517</v>
      </c>
      <c r="L344">
        <v>2021</v>
      </c>
      <c r="M344" t="s">
        <v>1344</v>
      </c>
      <c r="N344" t="s">
        <v>3518</v>
      </c>
      <c r="O344" t="s">
        <v>3519</v>
      </c>
      <c r="P344" t="s">
        <v>1634</v>
      </c>
      <c r="Q344" t="s">
        <v>3520</v>
      </c>
      <c r="R344" t="s">
        <v>38</v>
      </c>
    </row>
    <row r="345" spans="1:18">
      <c r="A345" s="2" t="str">
        <f>HYPERLINK("https://investorlist.com/investor/rigel-capital?ref=Excel_ViewProfile","View Profile")</f>
        <v>View Profile</v>
      </c>
      <c r="B345" t="s">
        <v>3521</v>
      </c>
      <c r="C345" t="s">
        <v>19</v>
      </c>
      <c r="D345" t="s">
        <v>3522</v>
      </c>
      <c r="E345" t="s">
        <v>38</v>
      </c>
      <c r="F345" t="s">
        <v>210</v>
      </c>
      <c r="G345" t="s">
        <v>3523</v>
      </c>
      <c r="H345" t="s">
        <v>38</v>
      </c>
      <c r="I345" t="s">
        <v>3524</v>
      </c>
      <c r="J345" t="s">
        <v>3525</v>
      </c>
      <c r="K345" t="s">
        <v>3526</v>
      </c>
      <c r="L345">
        <v>2021</v>
      </c>
      <c r="M345" t="s">
        <v>118</v>
      </c>
      <c r="N345" t="s">
        <v>3527</v>
      </c>
      <c r="O345" t="s">
        <v>3528</v>
      </c>
      <c r="P345" t="s">
        <v>3529</v>
      </c>
      <c r="Q345" t="s">
        <v>3530</v>
      </c>
      <c r="R345" t="s">
        <v>3531</v>
      </c>
    </row>
    <row r="346" spans="1:18">
      <c r="A346" s="2" t="str">
        <f>HYPERLINK("https://investorlist.com/investor/collinstar-capital?ref=Excel_ViewProfile","View Profile")</f>
        <v>View Profile</v>
      </c>
      <c r="B346" t="s">
        <v>3532</v>
      </c>
      <c r="C346" t="s">
        <v>19</v>
      </c>
      <c r="D346" t="s">
        <v>3533</v>
      </c>
      <c r="E346" t="s">
        <v>38</v>
      </c>
      <c r="F346" t="s">
        <v>2008</v>
      </c>
      <c r="G346" t="s">
        <v>3534</v>
      </c>
      <c r="H346" t="s">
        <v>38</v>
      </c>
      <c r="I346" t="s">
        <v>38</v>
      </c>
      <c r="J346" t="s">
        <v>38</v>
      </c>
      <c r="K346" t="s">
        <v>3535</v>
      </c>
      <c r="L346">
        <v>2015</v>
      </c>
      <c r="M346" t="s">
        <v>64</v>
      </c>
      <c r="N346" t="s">
        <v>487</v>
      </c>
      <c r="O346" t="s">
        <v>3536</v>
      </c>
      <c r="P346" t="s">
        <v>3537</v>
      </c>
      <c r="Q346" t="s">
        <v>3538</v>
      </c>
      <c r="R346" t="s">
        <v>3539</v>
      </c>
    </row>
    <row r="347" spans="1:18">
      <c r="A347" s="2" t="str">
        <f>HYPERLINK("https://investorlist.com/investor/42x-fund?ref=Excel_ViewProfile","View Profile")</f>
        <v>View Profile</v>
      </c>
      <c r="B347" t="s">
        <v>3540</v>
      </c>
      <c r="C347" t="s">
        <v>19</v>
      </c>
      <c r="D347" t="s">
        <v>3541</v>
      </c>
      <c r="E347" t="s">
        <v>21</v>
      </c>
      <c r="F347" t="s">
        <v>22</v>
      </c>
      <c r="G347" t="s">
        <v>3542</v>
      </c>
      <c r="H347" t="s">
        <v>38</v>
      </c>
      <c r="I347" t="s">
        <v>38</v>
      </c>
      <c r="J347" t="s">
        <v>38</v>
      </c>
      <c r="K347" t="s">
        <v>3543</v>
      </c>
      <c r="L347">
        <v>2022</v>
      </c>
      <c r="M347" t="s">
        <v>1302</v>
      </c>
      <c r="N347" t="s">
        <v>3544</v>
      </c>
      <c r="O347" t="s">
        <v>3545</v>
      </c>
      <c r="P347" t="s">
        <v>3546</v>
      </c>
      <c r="Q347" t="s">
        <v>3547</v>
      </c>
      <c r="R347" t="s">
        <v>3548</v>
      </c>
    </row>
    <row r="348" spans="1:18">
      <c r="A348" s="2" t="str">
        <f>HYPERLINK("https://investorlist.com/investor/symbiotics?ref=Excel_ViewProfile","View Profile")</f>
        <v>View Profile</v>
      </c>
      <c r="B348" t="s">
        <v>3549</v>
      </c>
      <c r="C348" t="s">
        <v>136</v>
      </c>
      <c r="D348" t="s">
        <v>3550</v>
      </c>
      <c r="E348" t="s">
        <v>38</v>
      </c>
      <c r="F348" t="s">
        <v>1115</v>
      </c>
      <c r="G348" t="s">
        <v>3551</v>
      </c>
      <c r="H348" t="s">
        <v>3552</v>
      </c>
      <c r="I348" t="s">
        <v>3553</v>
      </c>
      <c r="J348" t="s">
        <v>3554</v>
      </c>
      <c r="K348" t="s">
        <v>3555</v>
      </c>
      <c r="L348">
        <v>2004</v>
      </c>
      <c r="M348" t="s">
        <v>537</v>
      </c>
      <c r="N348" t="s">
        <v>1016</v>
      </c>
      <c r="O348" t="s">
        <v>777</v>
      </c>
      <c r="P348" t="s">
        <v>3556</v>
      </c>
      <c r="Q348" t="s">
        <v>3557</v>
      </c>
      <c r="R348" t="s">
        <v>3558</v>
      </c>
    </row>
    <row r="349" spans="1:18">
      <c r="A349" s="2" t="str">
        <f>HYPERLINK("https://investorlist.com/investor/asia-capital-pioneers-group?ref=Excel_ViewProfile","View Profile")</f>
        <v>View Profile</v>
      </c>
      <c r="B349" t="s">
        <v>3559</v>
      </c>
      <c r="C349" t="s">
        <v>162</v>
      </c>
      <c r="D349" t="s">
        <v>3560</v>
      </c>
      <c r="E349" t="s">
        <v>38</v>
      </c>
      <c r="F349" t="s">
        <v>585</v>
      </c>
      <c r="G349" t="s">
        <v>3561</v>
      </c>
      <c r="H349" t="s">
        <v>38</v>
      </c>
      <c r="I349" t="s">
        <v>3562</v>
      </c>
      <c r="J349" t="s">
        <v>3563</v>
      </c>
      <c r="K349" t="s">
        <v>3564</v>
      </c>
      <c r="L349">
        <v>2011</v>
      </c>
      <c r="M349" t="s">
        <v>1302</v>
      </c>
      <c r="N349" t="s">
        <v>3565</v>
      </c>
      <c r="O349" t="s">
        <v>177</v>
      </c>
      <c r="P349" t="s">
        <v>3566</v>
      </c>
      <c r="Q349" t="s">
        <v>3567</v>
      </c>
      <c r="R349" t="s">
        <v>3568</v>
      </c>
    </row>
    <row r="350" spans="1:18">
      <c r="A350" s="2" t="str">
        <f>HYPERLINK("https://investorlist.com/investor/blockwater-capital?ref=Excel_ViewProfile","View Profile")</f>
        <v>View Profile</v>
      </c>
      <c r="B350" t="s">
        <v>3569</v>
      </c>
      <c r="C350" t="s">
        <v>3570</v>
      </c>
      <c r="D350" t="s">
        <v>3571</v>
      </c>
      <c r="E350" t="s">
        <v>38</v>
      </c>
      <c r="F350" t="s">
        <v>596</v>
      </c>
      <c r="G350" t="s">
        <v>3572</v>
      </c>
      <c r="H350" t="s">
        <v>38</v>
      </c>
      <c r="I350" t="s">
        <v>3573</v>
      </c>
      <c r="J350" t="s">
        <v>38</v>
      </c>
      <c r="K350" t="s">
        <v>3574</v>
      </c>
      <c r="L350">
        <v>2018</v>
      </c>
      <c r="M350" t="s">
        <v>3575</v>
      </c>
      <c r="N350" t="s">
        <v>3576</v>
      </c>
      <c r="O350" t="s">
        <v>3577</v>
      </c>
      <c r="P350" t="s">
        <v>3578</v>
      </c>
      <c r="Q350" t="s">
        <v>3579</v>
      </c>
      <c r="R350" t="s">
        <v>3580</v>
      </c>
    </row>
    <row r="351" spans="1:18">
      <c r="A351" s="2" t="str">
        <f>HYPERLINK("https://investorlist.com/investor/oxbow-capital-management-hk-limited?ref=Excel_ViewProfile","View Profile")</f>
        <v>View Profile</v>
      </c>
      <c r="B351" t="s">
        <v>3581</v>
      </c>
      <c r="C351" t="s">
        <v>3570</v>
      </c>
      <c r="D351" t="s">
        <v>3582</v>
      </c>
      <c r="E351" t="s">
        <v>38</v>
      </c>
      <c r="F351" t="s">
        <v>585</v>
      </c>
      <c r="G351" t="s">
        <v>3583</v>
      </c>
      <c r="H351" t="s">
        <v>38</v>
      </c>
      <c r="I351" t="s">
        <v>3584</v>
      </c>
      <c r="J351" t="s">
        <v>3585</v>
      </c>
      <c r="K351" t="s">
        <v>3586</v>
      </c>
      <c r="L351">
        <v>2014</v>
      </c>
      <c r="M351" t="s">
        <v>2188</v>
      </c>
      <c r="N351" t="s">
        <v>3321</v>
      </c>
      <c r="O351" t="s">
        <v>3587</v>
      </c>
      <c r="P351" t="s">
        <v>3588</v>
      </c>
      <c r="Q351" t="s">
        <v>3589</v>
      </c>
      <c r="R351" t="s">
        <v>3590</v>
      </c>
    </row>
    <row r="352" spans="1:18">
      <c r="A352" s="2" t="str">
        <f>HYPERLINK("https://investorlist.com/investor/abdullah-ibrahim-al-subaie-investment-co?ref=Excel_ViewProfile","View Profile")</f>
        <v>View Profile</v>
      </c>
      <c r="B352" t="s">
        <v>3591</v>
      </c>
      <c r="C352" t="s">
        <v>162</v>
      </c>
      <c r="D352" t="s">
        <v>3592</v>
      </c>
      <c r="E352" t="s">
        <v>3593</v>
      </c>
      <c r="F352" t="s">
        <v>301</v>
      </c>
      <c r="G352" t="s">
        <v>3594</v>
      </c>
      <c r="H352" t="s">
        <v>3595</v>
      </c>
      <c r="I352" t="s">
        <v>3596</v>
      </c>
      <c r="J352" t="s">
        <v>3597</v>
      </c>
      <c r="K352" t="s">
        <v>3598</v>
      </c>
      <c r="L352" t="s">
        <v>38</v>
      </c>
      <c r="M352" t="s">
        <v>563</v>
      </c>
      <c r="N352" t="s">
        <v>3599</v>
      </c>
      <c r="O352" t="s">
        <v>3600</v>
      </c>
      <c r="P352" t="s">
        <v>3601</v>
      </c>
      <c r="Q352" t="s">
        <v>38</v>
      </c>
      <c r="R352" t="s">
        <v>38</v>
      </c>
    </row>
    <row r="353" spans="1:18">
      <c r="A353" s="2" t="str">
        <f>HYPERLINK("https://investorlist.com/investor/apis-partners?ref=Excel_ViewProfile","View Profile")</f>
        <v>View Profile</v>
      </c>
      <c r="B353" t="s">
        <v>3602</v>
      </c>
      <c r="C353" t="s">
        <v>181</v>
      </c>
      <c r="D353" t="s">
        <v>3603</v>
      </c>
      <c r="E353" t="s">
        <v>934</v>
      </c>
      <c r="F353" t="s">
        <v>360</v>
      </c>
      <c r="G353" t="s">
        <v>3604</v>
      </c>
      <c r="H353" t="s">
        <v>3605</v>
      </c>
      <c r="I353" t="s">
        <v>3606</v>
      </c>
      <c r="J353" t="s">
        <v>3607</v>
      </c>
      <c r="K353" t="s">
        <v>3608</v>
      </c>
      <c r="L353" t="s">
        <v>38</v>
      </c>
      <c r="M353" t="s">
        <v>1539</v>
      </c>
      <c r="N353" t="s">
        <v>217</v>
      </c>
      <c r="O353" t="s">
        <v>3609</v>
      </c>
      <c r="P353" t="s">
        <v>3610</v>
      </c>
      <c r="Q353" t="s">
        <v>38</v>
      </c>
      <c r="R353" t="s">
        <v>38</v>
      </c>
    </row>
    <row r="354" spans="1:18">
      <c r="A354" s="2" t="str">
        <f>HYPERLINK("https://investorlist.com/investor/responsability-participations-ag?ref=Excel_ViewProfile","View Profile")</f>
        <v>View Profile</v>
      </c>
      <c r="B354" t="s">
        <v>3611</v>
      </c>
      <c r="C354" t="s">
        <v>136</v>
      </c>
      <c r="D354" t="s">
        <v>3612</v>
      </c>
      <c r="E354" t="s">
        <v>1114</v>
      </c>
      <c r="F354" t="s">
        <v>1115</v>
      </c>
      <c r="G354" t="s">
        <v>3613</v>
      </c>
      <c r="H354" t="s">
        <v>3335</v>
      </c>
      <c r="I354" t="s">
        <v>3336</v>
      </c>
      <c r="J354" t="s">
        <v>3337</v>
      </c>
      <c r="K354" t="s">
        <v>3614</v>
      </c>
      <c r="L354">
        <v>2012</v>
      </c>
      <c r="M354" t="s">
        <v>202</v>
      </c>
      <c r="N354" t="s">
        <v>3615</v>
      </c>
      <c r="O354" t="s">
        <v>3616</v>
      </c>
      <c r="P354" t="s">
        <v>3617</v>
      </c>
      <c r="Q354" t="s">
        <v>3618</v>
      </c>
      <c r="R354" t="s">
        <v>3619</v>
      </c>
    </row>
    <row r="355" spans="1:18">
      <c r="A355" s="2" t="str">
        <f>HYPERLINK("https://investorlist.com/investor/energi-holdings?ref=Excel_ViewProfile","View Profile")</f>
        <v>View Profile</v>
      </c>
      <c r="B355" t="s">
        <v>3620</v>
      </c>
      <c r="C355" t="s">
        <v>136</v>
      </c>
      <c r="D355" t="s">
        <v>3621</v>
      </c>
      <c r="E355" t="s">
        <v>71</v>
      </c>
      <c r="F355" t="s">
        <v>22</v>
      </c>
      <c r="G355" t="s">
        <v>3622</v>
      </c>
      <c r="H355" t="s">
        <v>38</v>
      </c>
      <c r="I355" t="s">
        <v>3623</v>
      </c>
      <c r="J355" t="s">
        <v>3624</v>
      </c>
      <c r="K355" t="s">
        <v>3625</v>
      </c>
      <c r="L355" t="s">
        <v>38</v>
      </c>
      <c r="M355" t="s">
        <v>130</v>
      </c>
      <c r="N355" t="s">
        <v>3626</v>
      </c>
      <c r="O355" t="s">
        <v>3627</v>
      </c>
      <c r="P355" t="s">
        <v>3628</v>
      </c>
      <c r="Q355" t="s">
        <v>3629</v>
      </c>
      <c r="R355" t="s">
        <v>38</v>
      </c>
    </row>
    <row r="356" spans="1:18">
      <c r="A356" s="2" t="str">
        <f>HYPERLINK("https://investorlist.com/investor/ghiof-mauritius?ref=Excel_ViewProfile","View Profile")</f>
        <v>View Profile</v>
      </c>
      <c r="B356" t="s">
        <v>3630</v>
      </c>
      <c r="C356" t="s">
        <v>136</v>
      </c>
      <c r="D356" t="s">
        <v>3631</v>
      </c>
      <c r="E356" t="s">
        <v>38</v>
      </c>
      <c r="F356" t="s">
        <v>3632</v>
      </c>
      <c r="G356" t="s">
        <v>3633</v>
      </c>
      <c r="H356" t="s">
        <v>38</v>
      </c>
      <c r="I356" t="s">
        <v>3634</v>
      </c>
      <c r="J356" t="s">
        <v>38</v>
      </c>
      <c r="K356" t="s">
        <v>3635</v>
      </c>
      <c r="L356">
        <v>2008</v>
      </c>
      <c r="M356" t="s">
        <v>38</v>
      </c>
      <c r="N356" t="s">
        <v>38</v>
      </c>
      <c r="O356" t="s">
        <v>3636</v>
      </c>
      <c r="P356" t="s">
        <v>3637</v>
      </c>
      <c r="Q356" t="s">
        <v>3638</v>
      </c>
      <c r="R356" t="s">
        <v>3639</v>
      </c>
    </row>
    <row r="357" spans="1:18">
      <c r="A357" s="2" t="str">
        <f>HYPERLINK("https://investorlist.com/investor/sima-funds?ref=Excel_ViewProfile","View Profile")</f>
        <v>View Profile</v>
      </c>
      <c r="B357" t="s">
        <v>3640</v>
      </c>
      <c r="C357" t="s">
        <v>136</v>
      </c>
      <c r="D357" t="s">
        <v>3641</v>
      </c>
      <c r="E357" t="s">
        <v>324</v>
      </c>
      <c r="F357" t="s">
        <v>198</v>
      </c>
      <c r="G357" t="s">
        <v>3642</v>
      </c>
      <c r="H357" t="s">
        <v>3643</v>
      </c>
      <c r="I357" t="s">
        <v>3644</v>
      </c>
      <c r="J357" t="s">
        <v>38</v>
      </c>
      <c r="K357" t="s">
        <v>3645</v>
      </c>
      <c r="L357">
        <v>2016</v>
      </c>
      <c r="M357" t="s">
        <v>118</v>
      </c>
      <c r="N357" t="s">
        <v>1972</v>
      </c>
      <c r="O357" t="s">
        <v>3646</v>
      </c>
      <c r="P357" t="s">
        <v>3647</v>
      </c>
      <c r="Q357" t="s">
        <v>3648</v>
      </c>
      <c r="R357" t="s">
        <v>3649</v>
      </c>
    </row>
    <row r="358" spans="1:18">
      <c r="A358" s="2" t="str">
        <f>HYPERLINK("https://investorlist.com/investor/chandler-corporation?ref=Excel_ViewProfile","View Profile")</f>
        <v>View Profile</v>
      </c>
      <c r="B358" t="s">
        <v>3650</v>
      </c>
      <c r="C358" t="s">
        <v>136</v>
      </c>
      <c r="D358" t="s">
        <v>3651</v>
      </c>
      <c r="E358" t="s">
        <v>38</v>
      </c>
      <c r="F358" t="s">
        <v>210</v>
      </c>
      <c r="G358" t="s">
        <v>3652</v>
      </c>
      <c r="H358" t="s">
        <v>38</v>
      </c>
      <c r="I358" t="s">
        <v>3653</v>
      </c>
      <c r="J358" t="s">
        <v>3654</v>
      </c>
      <c r="K358" t="s">
        <v>3655</v>
      </c>
      <c r="L358">
        <v>1986</v>
      </c>
      <c r="M358" t="s">
        <v>229</v>
      </c>
      <c r="N358" t="s">
        <v>3656</v>
      </c>
      <c r="O358" t="s">
        <v>3657</v>
      </c>
      <c r="P358" t="s">
        <v>3658</v>
      </c>
      <c r="Q358" t="s">
        <v>3659</v>
      </c>
      <c r="R358" t="s">
        <v>3660</v>
      </c>
    </row>
    <row r="359" spans="1:18">
      <c r="A359" s="2" t="str">
        <f>HYPERLINK("https://investorlist.com/investor/vision-international-investment-company?ref=Excel_ViewProfile","View Profile")</f>
        <v>View Profile</v>
      </c>
      <c r="B359" t="s">
        <v>3661</v>
      </c>
      <c r="C359" t="s">
        <v>136</v>
      </c>
      <c r="D359" t="s">
        <v>3662</v>
      </c>
      <c r="E359" t="s">
        <v>457</v>
      </c>
      <c r="F359" t="s">
        <v>301</v>
      </c>
      <c r="G359" t="s">
        <v>3663</v>
      </c>
      <c r="H359" t="s">
        <v>38</v>
      </c>
      <c r="I359" t="s">
        <v>3664</v>
      </c>
      <c r="J359" t="s">
        <v>3665</v>
      </c>
      <c r="K359" t="s">
        <v>3666</v>
      </c>
      <c r="L359" t="s">
        <v>38</v>
      </c>
      <c r="M359" t="s">
        <v>130</v>
      </c>
      <c r="N359" t="s">
        <v>3667</v>
      </c>
      <c r="O359" t="s">
        <v>3668</v>
      </c>
      <c r="P359" t="s">
        <v>1326</v>
      </c>
      <c r="Q359" t="s">
        <v>3669</v>
      </c>
      <c r="R359" t="s">
        <v>38</v>
      </c>
    </row>
    <row r="360" spans="1:18">
      <c r="A360" s="2" t="str">
        <f>HYPERLINK("https://investorlist.com/investor/gmo-global-fintech-fund?ref=Excel_ViewProfile","View Profile")</f>
        <v>View Profile</v>
      </c>
      <c r="B360" t="s">
        <v>3670</v>
      </c>
      <c r="C360" t="s">
        <v>19</v>
      </c>
      <c r="D360" t="s">
        <v>782</v>
      </c>
      <c r="E360" t="s">
        <v>783</v>
      </c>
      <c r="F360" t="s">
        <v>784</v>
      </c>
      <c r="G360" t="s">
        <v>3671</v>
      </c>
      <c r="H360" t="s">
        <v>38</v>
      </c>
      <c r="I360" t="s">
        <v>38</v>
      </c>
      <c r="J360" t="s">
        <v>38</v>
      </c>
      <c r="K360" t="s">
        <v>3672</v>
      </c>
      <c r="L360">
        <v>2018</v>
      </c>
      <c r="M360" t="s">
        <v>64</v>
      </c>
      <c r="N360" t="s">
        <v>19</v>
      </c>
      <c r="O360" t="s">
        <v>3673</v>
      </c>
      <c r="P360" t="s">
        <v>1552</v>
      </c>
      <c r="Q360" t="s">
        <v>3674</v>
      </c>
      <c r="R360" t="s">
        <v>3675</v>
      </c>
    </row>
    <row r="361" spans="1:18">
      <c r="A361" s="2" t="str">
        <f>HYPERLINK("https://investorlist.com/investor/nuveen-global-impact-fund-india-s-a-r-l?ref=Excel_ViewProfile","View Profile")</f>
        <v>View Profile</v>
      </c>
      <c r="B361" t="s">
        <v>3676</v>
      </c>
      <c r="C361" t="s">
        <v>181</v>
      </c>
      <c r="D361" t="s">
        <v>3677</v>
      </c>
      <c r="E361" t="s">
        <v>770</v>
      </c>
      <c r="F361" t="s">
        <v>198</v>
      </c>
      <c r="G361" t="s">
        <v>3678</v>
      </c>
      <c r="H361" t="s">
        <v>3679</v>
      </c>
      <c r="I361" t="s">
        <v>3680</v>
      </c>
      <c r="J361" t="s">
        <v>3681</v>
      </c>
      <c r="K361" t="s">
        <v>3682</v>
      </c>
      <c r="L361" t="s">
        <v>38</v>
      </c>
      <c r="M361" t="s">
        <v>130</v>
      </c>
      <c r="N361" t="s">
        <v>3683</v>
      </c>
      <c r="O361" t="s">
        <v>3501</v>
      </c>
      <c r="P361" t="s">
        <v>2930</v>
      </c>
      <c r="Q361" t="s">
        <v>38</v>
      </c>
      <c r="R361" t="s">
        <v>38</v>
      </c>
    </row>
    <row r="362" spans="1:18">
      <c r="A362" s="2" t="str">
        <f>HYPERLINK("https://investorlist.com/investor/blueorchard-microfinance-fund?ref=Excel_ViewProfile","View Profile")</f>
        <v>View Profile</v>
      </c>
      <c r="B362" t="s">
        <v>3684</v>
      </c>
      <c r="C362" t="s">
        <v>3685</v>
      </c>
      <c r="D362" t="s">
        <v>3686</v>
      </c>
      <c r="E362" t="s">
        <v>38</v>
      </c>
      <c r="F362" t="s">
        <v>3347</v>
      </c>
      <c r="G362" t="s">
        <v>1116</v>
      </c>
      <c r="H362" t="s">
        <v>1117</v>
      </c>
      <c r="I362" t="s">
        <v>3687</v>
      </c>
      <c r="J362" t="s">
        <v>3688</v>
      </c>
      <c r="K362" t="s">
        <v>3689</v>
      </c>
      <c r="L362">
        <v>1998</v>
      </c>
      <c r="M362" t="s">
        <v>1539</v>
      </c>
      <c r="N362" t="s">
        <v>3690</v>
      </c>
      <c r="O362" t="s">
        <v>3691</v>
      </c>
      <c r="P362" t="s">
        <v>3692</v>
      </c>
      <c r="Q362" t="s">
        <v>3693</v>
      </c>
      <c r="R362" t="s">
        <v>3694</v>
      </c>
    </row>
    <row r="363" spans="1:18">
      <c r="A363" s="2" t="str">
        <f>HYPERLINK("https://investorlist.com/investor/adenium-energy-capital?ref=Excel_ViewProfile","View Profile")</f>
        <v>View Profile</v>
      </c>
      <c r="B363" t="s">
        <v>3695</v>
      </c>
      <c r="C363" t="s">
        <v>181</v>
      </c>
      <c r="D363" t="s">
        <v>3696</v>
      </c>
      <c r="E363" t="s">
        <v>71</v>
      </c>
      <c r="F363" t="s">
        <v>22</v>
      </c>
      <c r="G363" t="s">
        <v>3697</v>
      </c>
      <c r="H363" t="s">
        <v>38</v>
      </c>
      <c r="I363" t="s">
        <v>3698</v>
      </c>
      <c r="J363" t="s">
        <v>3699</v>
      </c>
      <c r="K363" t="s">
        <v>3700</v>
      </c>
      <c r="L363" t="s">
        <v>38</v>
      </c>
      <c r="M363" t="s">
        <v>2188</v>
      </c>
      <c r="N363" t="s">
        <v>3701</v>
      </c>
      <c r="O363" t="s">
        <v>3702</v>
      </c>
      <c r="P363" t="s">
        <v>3703</v>
      </c>
      <c r="Q363" t="s">
        <v>38</v>
      </c>
      <c r="R363" t="s">
        <v>38</v>
      </c>
    </row>
    <row r="364" spans="1:18">
      <c r="A364" s="2" t="str">
        <f>HYPERLINK("https://investorlist.com/investor/vef-ab?ref=Excel_ViewProfile","View Profile")</f>
        <v>View Profile</v>
      </c>
      <c r="B364" t="s">
        <v>3704</v>
      </c>
      <c r="C364" t="s">
        <v>19</v>
      </c>
      <c r="D364" t="s">
        <v>3705</v>
      </c>
      <c r="E364" t="s">
        <v>3706</v>
      </c>
      <c r="F364" t="s">
        <v>3707</v>
      </c>
      <c r="G364" t="s">
        <v>3708</v>
      </c>
      <c r="H364" t="s">
        <v>3709</v>
      </c>
      <c r="I364" t="s">
        <v>3710</v>
      </c>
      <c r="J364" t="s">
        <v>3711</v>
      </c>
      <c r="K364" t="s">
        <v>3712</v>
      </c>
      <c r="L364">
        <v>2015</v>
      </c>
      <c r="M364" t="s">
        <v>3713</v>
      </c>
      <c r="N364" t="s">
        <v>19</v>
      </c>
      <c r="O364" t="s">
        <v>3714</v>
      </c>
      <c r="P364" t="s">
        <v>3715</v>
      </c>
      <c r="Q364" t="s">
        <v>3716</v>
      </c>
      <c r="R364" t="s">
        <v>3717</v>
      </c>
    </row>
    <row r="365" spans="1:18">
      <c r="A365" s="2" t="str">
        <f>HYPERLINK("https://investorlist.com/investor/abrdn-asia-limited?ref=Excel_ViewProfile","View Profile")</f>
        <v>View Profile</v>
      </c>
      <c r="B365" t="s">
        <v>3718</v>
      </c>
      <c r="C365" t="s">
        <v>250</v>
      </c>
      <c r="D365" t="s">
        <v>3719</v>
      </c>
      <c r="E365" t="s">
        <v>38</v>
      </c>
      <c r="F365" t="s">
        <v>210</v>
      </c>
      <c r="G365" t="s">
        <v>3720</v>
      </c>
      <c r="H365" t="s">
        <v>3721</v>
      </c>
      <c r="I365" t="s">
        <v>3722</v>
      </c>
      <c r="J365" t="s">
        <v>3723</v>
      </c>
      <c r="K365" t="s">
        <v>3724</v>
      </c>
      <c r="L365" t="s">
        <v>38</v>
      </c>
      <c r="M365" t="s">
        <v>130</v>
      </c>
      <c r="N365" t="s">
        <v>3725</v>
      </c>
      <c r="O365" t="s">
        <v>3387</v>
      </c>
      <c r="P365" t="s">
        <v>3726</v>
      </c>
      <c r="Q365" t="s">
        <v>38</v>
      </c>
      <c r="R365" t="s">
        <v>38</v>
      </c>
    </row>
    <row r="366" spans="1:18">
      <c r="A366" s="2" t="str">
        <f>HYPERLINK("https://investorlist.com/investor/mulkia-investment-company?ref=Excel_ViewProfile","View Profile")</f>
        <v>View Profile</v>
      </c>
      <c r="B366" t="s">
        <v>3727</v>
      </c>
      <c r="C366" t="s">
        <v>250</v>
      </c>
      <c r="D366" t="s">
        <v>3728</v>
      </c>
      <c r="E366" t="s">
        <v>457</v>
      </c>
      <c r="F366" t="s">
        <v>301</v>
      </c>
      <c r="G366" t="s">
        <v>3729</v>
      </c>
      <c r="H366" t="s">
        <v>38</v>
      </c>
      <c r="I366" t="s">
        <v>3730</v>
      </c>
      <c r="J366" t="s">
        <v>3731</v>
      </c>
      <c r="K366" t="s">
        <v>3732</v>
      </c>
      <c r="L366">
        <v>2013</v>
      </c>
      <c r="M366" t="s">
        <v>202</v>
      </c>
      <c r="N366" t="s">
        <v>3733</v>
      </c>
      <c r="O366" t="s">
        <v>3734</v>
      </c>
      <c r="P366" t="s">
        <v>3735</v>
      </c>
      <c r="Q366" t="s">
        <v>3736</v>
      </c>
      <c r="R366" t="s">
        <v>3737</v>
      </c>
    </row>
    <row r="367" spans="1:18">
      <c r="A367" s="2" t="str">
        <f>HYPERLINK("https://investorlist.com/investor/nextenergy-solar-fund?ref=Excel_ViewProfile","View Profile")</f>
        <v>View Profile</v>
      </c>
      <c r="B367" t="s">
        <v>3738</v>
      </c>
      <c r="C367" t="s">
        <v>250</v>
      </c>
      <c r="D367" t="s">
        <v>3739</v>
      </c>
      <c r="E367" t="s">
        <v>38</v>
      </c>
      <c r="F367" t="s">
        <v>3740</v>
      </c>
      <c r="G367" t="s">
        <v>3741</v>
      </c>
      <c r="H367" t="s">
        <v>3742</v>
      </c>
      <c r="I367" t="s">
        <v>3743</v>
      </c>
      <c r="J367" t="s">
        <v>3744</v>
      </c>
      <c r="K367" t="s">
        <v>3745</v>
      </c>
      <c r="L367" t="s">
        <v>38</v>
      </c>
      <c r="M367" t="s">
        <v>612</v>
      </c>
      <c r="N367" t="s">
        <v>3746</v>
      </c>
      <c r="O367" t="s">
        <v>3747</v>
      </c>
      <c r="P367" t="s">
        <v>3748</v>
      </c>
      <c r="Q367" t="s">
        <v>38</v>
      </c>
      <c r="R367" t="s">
        <v>38</v>
      </c>
    </row>
    <row r="368" spans="1:18">
      <c r="A368" s="2" t="str">
        <f>HYPERLINK("https://investorlist.com/investor/pakistan-kuwait-investment-company?ref=Excel_ViewProfile","View Profile")</f>
        <v>View Profile</v>
      </c>
      <c r="B368" t="s">
        <v>3749</v>
      </c>
      <c r="C368" t="s">
        <v>250</v>
      </c>
      <c r="D368" t="s">
        <v>3750</v>
      </c>
      <c r="E368" t="s">
        <v>846</v>
      </c>
      <c r="F368" t="s">
        <v>806</v>
      </c>
      <c r="G368" t="s">
        <v>3751</v>
      </c>
      <c r="H368" t="s">
        <v>3752</v>
      </c>
      <c r="I368" t="s">
        <v>3753</v>
      </c>
      <c r="J368" t="s">
        <v>3754</v>
      </c>
      <c r="K368" t="s">
        <v>3755</v>
      </c>
      <c r="L368">
        <v>1979</v>
      </c>
      <c r="M368" t="s">
        <v>1366</v>
      </c>
      <c r="N368" t="s">
        <v>3756</v>
      </c>
      <c r="O368" t="s">
        <v>3757</v>
      </c>
      <c r="P368" t="s">
        <v>3758</v>
      </c>
      <c r="Q368" t="s">
        <v>3759</v>
      </c>
      <c r="R368" t="s">
        <v>3760</v>
      </c>
    </row>
    <row r="369" spans="1:18">
      <c r="A369" s="2" t="str">
        <f>HYPERLINK("https://investorlist.com/investor/lundbeckfond-invest-a-s?ref=Excel_ViewProfile","View Profile")</f>
        <v>View Profile</v>
      </c>
      <c r="B369" t="s">
        <v>3761</v>
      </c>
      <c r="C369" t="s">
        <v>250</v>
      </c>
      <c r="D369" t="s">
        <v>3762</v>
      </c>
      <c r="E369" t="s">
        <v>3763</v>
      </c>
      <c r="F369" t="s">
        <v>3764</v>
      </c>
      <c r="G369" t="s">
        <v>3765</v>
      </c>
      <c r="H369" t="s">
        <v>38</v>
      </c>
      <c r="I369" t="s">
        <v>38</v>
      </c>
      <c r="J369" t="s">
        <v>38</v>
      </c>
      <c r="K369" t="s">
        <v>3766</v>
      </c>
      <c r="L369">
        <v>1999</v>
      </c>
      <c r="M369" t="s">
        <v>155</v>
      </c>
      <c r="N369" t="s">
        <v>3767</v>
      </c>
      <c r="O369" t="s">
        <v>3768</v>
      </c>
      <c r="P369" t="s">
        <v>3769</v>
      </c>
      <c r="Q369" t="s">
        <v>3770</v>
      </c>
      <c r="R369" t="s">
        <v>3771</v>
      </c>
    </row>
    <row r="370" spans="1:18">
      <c r="A370" s="2" t="str">
        <f>HYPERLINK("https://investorlist.com/investor/global-climate-partnership-fund?ref=Excel_ViewProfile","View Profile")</f>
        <v>View Profile</v>
      </c>
      <c r="B370" t="s">
        <v>3772</v>
      </c>
      <c r="C370" t="s">
        <v>3685</v>
      </c>
      <c r="D370" t="s">
        <v>3773</v>
      </c>
      <c r="E370" t="s">
        <v>38</v>
      </c>
      <c r="F370" t="s">
        <v>3347</v>
      </c>
      <c r="G370" t="s">
        <v>3774</v>
      </c>
      <c r="H370" t="s">
        <v>38</v>
      </c>
      <c r="I370" t="s">
        <v>3775</v>
      </c>
      <c r="J370" t="s">
        <v>3776</v>
      </c>
      <c r="K370" t="s">
        <v>3777</v>
      </c>
      <c r="L370" t="s">
        <v>38</v>
      </c>
      <c r="M370" t="s">
        <v>2188</v>
      </c>
      <c r="N370" t="s">
        <v>3778</v>
      </c>
      <c r="O370" t="s">
        <v>3779</v>
      </c>
      <c r="P370" t="s">
        <v>3780</v>
      </c>
      <c r="Q370" t="s">
        <v>38</v>
      </c>
      <c r="R370" t="s">
        <v>38</v>
      </c>
    </row>
    <row r="371" spans="1:18">
      <c r="A371" s="2" t="str">
        <f>HYPERLINK("https://investorlist.com/investor/saudi-pak-industrial-and-agricultural-investment-company-limited?ref=Excel_ViewProfile","View Profile")</f>
        <v>View Profile</v>
      </c>
      <c r="B371" t="s">
        <v>3781</v>
      </c>
      <c r="C371" t="s">
        <v>250</v>
      </c>
      <c r="D371" t="s">
        <v>3782</v>
      </c>
      <c r="E371" t="s">
        <v>3783</v>
      </c>
      <c r="F371" t="s">
        <v>806</v>
      </c>
      <c r="G371" t="s">
        <v>3784</v>
      </c>
      <c r="H371" t="s">
        <v>38</v>
      </c>
      <c r="I371" t="s">
        <v>3785</v>
      </c>
      <c r="J371" t="s">
        <v>3786</v>
      </c>
      <c r="K371" t="s">
        <v>3787</v>
      </c>
      <c r="L371" t="s">
        <v>38</v>
      </c>
      <c r="M371" t="s">
        <v>202</v>
      </c>
      <c r="N371" t="s">
        <v>3788</v>
      </c>
      <c r="O371" t="s">
        <v>777</v>
      </c>
      <c r="P371" t="s">
        <v>812</v>
      </c>
      <c r="Q371" t="s">
        <v>38</v>
      </c>
      <c r="R371" t="s">
        <v>38</v>
      </c>
    </row>
    <row r="372" spans="1:18">
      <c r="A372" s="2" t="str">
        <f>HYPERLINK("https://investorlist.com/investor/pak-china-investment-company-limited?ref=Excel_ViewProfile","View Profile")</f>
        <v>View Profile</v>
      </c>
      <c r="B372" t="s">
        <v>3789</v>
      </c>
      <c r="C372" t="s">
        <v>250</v>
      </c>
      <c r="D372" t="s">
        <v>3790</v>
      </c>
      <c r="E372" t="s">
        <v>3783</v>
      </c>
      <c r="F372" t="s">
        <v>806</v>
      </c>
      <c r="G372" t="s">
        <v>3791</v>
      </c>
      <c r="H372" t="s">
        <v>38</v>
      </c>
      <c r="I372" t="s">
        <v>3792</v>
      </c>
      <c r="J372" t="s">
        <v>3793</v>
      </c>
      <c r="K372" t="s">
        <v>3794</v>
      </c>
      <c r="L372">
        <v>2007</v>
      </c>
      <c r="M372" t="s">
        <v>130</v>
      </c>
      <c r="N372" t="s">
        <v>3795</v>
      </c>
      <c r="O372" t="s">
        <v>3796</v>
      </c>
      <c r="P372" t="s">
        <v>3797</v>
      </c>
      <c r="Q372" t="s">
        <v>3798</v>
      </c>
      <c r="R372" t="s">
        <v>38</v>
      </c>
    </row>
    <row r="373" spans="1:18">
      <c r="A373" s="2" t="str">
        <f>HYPERLINK("https://investorlist.com/investor/atman-investment?ref=Excel_ViewProfile","View Profile")</f>
        <v>View Profile</v>
      </c>
      <c r="B373" t="s">
        <v>3799</v>
      </c>
      <c r="C373" t="s">
        <v>136</v>
      </c>
      <c r="D373" t="s">
        <v>3800</v>
      </c>
      <c r="E373" t="s">
        <v>71</v>
      </c>
      <c r="F373" t="s">
        <v>22</v>
      </c>
      <c r="G373" t="s">
        <v>3801</v>
      </c>
      <c r="H373" t="s">
        <v>38</v>
      </c>
      <c r="I373" t="s">
        <v>3802</v>
      </c>
      <c r="J373" t="s">
        <v>3803</v>
      </c>
      <c r="K373" t="s">
        <v>3804</v>
      </c>
      <c r="L373">
        <v>0</v>
      </c>
      <c r="M373" t="s">
        <v>537</v>
      </c>
      <c r="N373" t="s">
        <v>3805</v>
      </c>
      <c r="O373" t="s">
        <v>3806</v>
      </c>
      <c r="P373" t="s">
        <v>3807</v>
      </c>
      <c r="Q373" t="s">
        <v>3808</v>
      </c>
      <c r="R373" t="s">
        <v>38</v>
      </c>
    </row>
    <row r="374" spans="1:18">
      <c r="A374" s="2" t="str">
        <f>HYPERLINK("https://investorlist.com/investor/atman-holdings?ref=Excel_ViewProfile","View Profile")</f>
        <v>View Profile</v>
      </c>
      <c r="B374" t="s">
        <v>3809</v>
      </c>
      <c r="C374" t="s">
        <v>162</v>
      </c>
      <c r="D374" t="s">
        <v>3810</v>
      </c>
      <c r="E374" t="s">
        <v>38</v>
      </c>
      <c r="F374" t="s">
        <v>210</v>
      </c>
      <c r="G374" t="s">
        <v>3811</v>
      </c>
      <c r="H374" t="s">
        <v>38</v>
      </c>
      <c r="I374" t="s">
        <v>3812</v>
      </c>
      <c r="J374" t="s">
        <v>38</v>
      </c>
      <c r="K374" t="s">
        <v>3813</v>
      </c>
      <c r="L374">
        <v>2019</v>
      </c>
      <c r="M374" t="s">
        <v>737</v>
      </c>
      <c r="N374" t="s">
        <v>3814</v>
      </c>
      <c r="O374" t="s">
        <v>3815</v>
      </c>
      <c r="P374" t="s">
        <v>3816</v>
      </c>
      <c r="Q374" t="s">
        <v>3817</v>
      </c>
      <c r="R374" t="s">
        <v>38</v>
      </c>
    </row>
    <row r="375" spans="1:18">
      <c r="A375" s="2" t="str">
        <f>HYPERLINK("https://investorlist.com/investor/al-dar-holding?ref=Excel_ViewProfile","View Profile")</f>
        <v>View Profile</v>
      </c>
      <c r="B375" t="s">
        <v>3818</v>
      </c>
      <c r="C375" t="s">
        <v>136</v>
      </c>
      <c r="D375" t="s">
        <v>3819</v>
      </c>
      <c r="E375" t="s">
        <v>71</v>
      </c>
      <c r="F375" t="s">
        <v>22</v>
      </c>
      <c r="G375" t="s">
        <v>3820</v>
      </c>
      <c r="H375" t="s">
        <v>38</v>
      </c>
      <c r="I375" t="s">
        <v>3821</v>
      </c>
      <c r="J375" t="s">
        <v>3822</v>
      </c>
      <c r="K375" t="s">
        <v>3823</v>
      </c>
      <c r="L375">
        <v>1900</v>
      </c>
      <c r="M375" t="s">
        <v>130</v>
      </c>
      <c r="N375" t="s">
        <v>3824</v>
      </c>
      <c r="O375" t="s">
        <v>3825</v>
      </c>
      <c r="P375" t="s">
        <v>3826</v>
      </c>
      <c r="Q375" t="s">
        <v>3827</v>
      </c>
      <c r="R375" t="s">
        <v>38</v>
      </c>
    </row>
    <row r="376" spans="1:18">
      <c r="A376" s="2" t="str">
        <f>HYPERLINK("https://investorlist.com/investor/responsability-sicav-lux?ref=Excel_ViewProfile","View Profile")</f>
        <v>View Profile</v>
      </c>
      <c r="B376" t="s">
        <v>3828</v>
      </c>
      <c r="C376" t="s">
        <v>3685</v>
      </c>
      <c r="D376" t="s">
        <v>3829</v>
      </c>
      <c r="E376" t="s">
        <v>38</v>
      </c>
      <c r="F376" t="s">
        <v>3347</v>
      </c>
      <c r="G376" t="s">
        <v>3613</v>
      </c>
      <c r="H376" t="s">
        <v>38</v>
      </c>
      <c r="I376" t="s">
        <v>3336</v>
      </c>
      <c r="J376" t="s">
        <v>3337</v>
      </c>
      <c r="K376" t="s">
        <v>3830</v>
      </c>
      <c r="L376">
        <v>2006</v>
      </c>
      <c r="M376" t="s">
        <v>343</v>
      </c>
      <c r="N376" t="s">
        <v>3756</v>
      </c>
      <c r="O376" t="s">
        <v>1759</v>
      </c>
      <c r="P376" t="s">
        <v>3831</v>
      </c>
      <c r="Q376" t="s">
        <v>3832</v>
      </c>
      <c r="R376" t="s">
        <v>3833</v>
      </c>
    </row>
    <row r="377" spans="1:18">
      <c r="A377" s="2" t="str">
        <f>HYPERLINK("https://investorlist.com/investor/clinton-capital-partners?ref=Excel_ViewProfile","View Profile")</f>
        <v>View Profile</v>
      </c>
      <c r="B377" t="s">
        <v>3834</v>
      </c>
      <c r="C377" t="s">
        <v>19</v>
      </c>
      <c r="D377" t="s">
        <v>3835</v>
      </c>
      <c r="E377" t="s">
        <v>3252</v>
      </c>
      <c r="F377" t="s">
        <v>2008</v>
      </c>
      <c r="G377" t="s">
        <v>3836</v>
      </c>
      <c r="H377" t="s">
        <v>3837</v>
      </c>
      <c r="I377" t="s">
        <v>3838</v>
      </c>
      <c r="J377" t="s">
        <v>3839</v>
      </c>
      <c r="K377" t="s">
        <v>3840</v>
      </c>
      <c r="L377">
        <v>2015</v>
      </c>
      <c r="M377" t="s">
        <v>87</v>
      </c>
      <c r="N377" t="s">
        <v>19</v>
      </c>
      <c r="O377" t="s">
        <v>3841</v>
      </c>
      <c r="P377" t="s">
        <v>3842</v>
      </c>
      <c r="Q377" t="s">
        <v>3843</v>
      </c>
      <c r="R377" t="s">
        <v>3844</v>
      </c>
    </row>
    <row r="378" spans="1:18">
      <c r="A378" s="2" t="str">
        <f>HYPERLINK("https://investorlist.com/investor/the-edgeof?ref=Excel_ViewProfile","View Profile")</f>
        <v>View Profile</v>
      </c>
      <c r="B378" t="s">
        <v>3845</v>
      </c>
      <c r="C378" t="s">
        <v>19</v>
      </c>
      <c r="D378" t="s">
        <v>38</v>
      </c>
      <c r="E378" t="s">
        <v>38</v>
      </c>
      <c r="F378" t="s">
        <v>210</v>
      </c>
      <c r="G378" t="s">
        <v>3846</v>
      </c>
      <c r="H378" t="s">
        <v>3847</v>
      </c>
      <c r="I378" t="s">
        <v>3848</v>
      </c>
      <c r="J378" t="s">
        <v>38</v>
      </c>
      <c r="K378" t="s">
        <v>3849</v>
      </c>
      <c r="L378">
        <v>2023</v>
      </c>
      <c r="M378" t="s">
        <v>677</v>
      </c>
      <c r="N378" t="s">
        <v>19</v>
      </c>
      <c r="O378" t="s">
        <v>3850</v>
      </c>
      <c r="P378" t="s">
        <v>3851</v>
      </c>
      <c r="Q378" t="s">
        <v>3852</v>
      </c>
      <c r="R378" t="s">
        <v>3853</v>
      </c>
    </row>
    <row r="379" spans="1:18">
      <c r="A379" s="2" t="str">
        <f>HYPERLINK("https://investorlist.com/investor/astrax-capital?ref=Excel_ViewProfile","View Profile")</f>
        <v>View Profile</v>
      </c>
      <c r="B379" t="s">
        <v>3854</v>
      </c>
      <c r="C379" t="s">
        <v>19</v>
      </c>
      <c r="D379" t="s">
        <v>38</v>
      </c>
      <c r="E379" t="s">
        <v>38</v>
      </c>
      <c r="F379" t="s">
        <v>38</v>
      </c>
      <c r="G379" t="s">
        <v>3855</v>
      </c>
      <c r="H379" t="s">
        <v>38</v>
      </c>
      <c r="I379" t="s">
        <v>3856</v>
      </c>
      <c r="J379" t="s">
        <v>38</v>
      </c>
      <c r="K379" t="s">
        <v>3857</v>
      </c>
      <c r="L379">
        <v>2024</v>
      </c>
      <c r="M379" t="s">
        <v>677</v>
      </c>
      <c r="N379" t="s">
        <v>487</v>
      </c>
      <c r="O379" t="s">
        <v>3858</v>
      </c>
      <c r="P379" t="s">
        <v>3859</v>
      </c>
      <c r="Q379" t="s">
        <v>3860</v>
      </c>
      <c r="R379" t="s">
        <v>3861</v>
      </c>
    </row>
    <row r="380" spans="1:18">
      <c r="A380" s="2" t="str">
        <f>HYPERLINK("https://investorlist.com/investor/ewtp-arabia-capital?ref=Excel_ViewProfile","View Profile")</f>
        <v>View Profile</v>
      </c>
      <c r="B380" t="s">
        <v>3862</v>
      </c>
      <c r="C380" t="s">
        <v>181</v>
      </c>
      <c r="D380" t="s">
        <v>2643</v>
      </c>
      <c r="E380" t="s">
        <v>38</v>
      </c>
      <c r="F380" t="s">
        <v>301</v>
      </c>
      <c r="G380" t="s">
        <v>3863</v>
      </c>
      <c r="H380" t="s">
        <v>38</v>
      </c>
      <c r="I380" t="s">
        <v>3864</v>
      </c>
      <c r="J380" t="s">
        <v>38</v>
      </c>
      <c r="K380" t="s">
        <v>3865</v>
      </c>
      <c r="L380">
        <v>2017</v>
      </c>
      <c r="M380" t="s">
        <v>1302</v>
      </c>
      <c r="N380" t="s">
        <v>217</v>
      </c>
      <c r="O380" t="s">
        <v>3866</v>
      </c>
      <c r="P380" t="s">
        <v>2732</v>
      </c>
      <c r="Q380" t="s">
        <v>3867</v>
      </c>
      <c r="R380" t="s">
        <v>3868</v>
      </c>
    </row>
    <row r="381" spans="1:18">
      <c r="A381" s="2" t="str">
        <f>HYPERLINK("https://investorlist.com/investor/ocular-partners?ref=Excel_ViewProfile","View Profile")</f>
        <v>View Profile</v>
      </c>
      <c r="B381" t="s">
        <v>3869</v>
      </c>
      <c r="C381" t="s">
        <v>19</v>
      </c>
      <c r="D381" t="s">
        <v>38</v>
      </c>
      <c r="E381" t="s">
        <v>38</v>
      </c>
      <c r="F381" t="s">
        <v>198</v>
      </c>
      <c r="G381" t="s">
        <v>3870</v>
      </c>
      <c r="H381" t="s">
        <v>38</v>
      </c>
      <c r="I381" t="s">
        <v>3871</v>
      </c>
      <c r="J381" t="s">
        <v>38</v>
      </c>
      <c r="K381" t="s">
        <v>3872</v>
      </c>
      <c r="L381">
        <v>0</v>
      </c>
      <c r="M381" t="s">
        <v>863</v>
      </c>
      <c r="N381" t="s">
        <v>487</v>
      </c>
      <c r="O381" t="s">
        <v>3873</v>
      </c>
      <c r="P381" t="s">
        <v>3874</v>
      </c>
      <c r="Q381" t="s">
        <v>3875</v>
      </c>
      <c r="R381" t="s">
        <v>38</v>
      </c>
    </row>
    <row r="382" spans="1:18">
      <c r="A382" s="2" t="str">
        <f>HYPERLINK("https://investorlist.com/investor/waratah-capital-advisors-ltd?ref=Excel_ViewProfile","View Profile")</f>
        <v>View Profile</v>
      </c>
      <c r="B382" t="s">
        <v>3876</v>
      </c>
      <c r="C382" t="s">
        <v>136</v>
      </c>
      <c r="D382" t="s">
        <v>3877</v>
      </c>
      <c r="E382" t="s">
        <v>1186</v>
      </c>
      <c r="F382" t="s">
        <v>1187</v>
      </c>
      <c r="G382" t="s">
        <v>3878</v>
      </c>
      <c r="H382" t="s">
        <v>38</v>
      </c>
      <c r="I382" t="s">
        <v>3879</v>
      </c>
      <c r="J382" t="s">
        <v>3880</v>
      </c>
      <c r="K382" t="s">
        <v>3881</v>
      </c>
      <c r="L382">
        <v>2010</v>
      </c>
      <c r="M382" t="s">
        <v>1278</v>
      </c>
      <c r="N382" t="s">
        <v>217</v>
      </c>
      <c r="O382" t="s">
        <v>3882</v>
      </c>
      <c r="P382" t="s">
        <v>3883</v>
      </c>
      <c r="Q382" t="s">
        <v>3884</v>
      </c>
      <c r="R382" t="s">
        <v>38</v>
      </c>
    </row>
    <row r="383" spans="1:18">
      <c r="A383" s="2" t="str">
        <f>HYPERLINK("https://investorlist.com/investor/antler-australia?ref=Excel_ViewProfile","View Profile")</f>
        <v>View Profile</v>
      </c>
      <c r="B383" t="s">
        <v>3885</v>
      </c>
      <c r="C383" t="s">
        <v>19</v>
      </c>
      <c r="D383" t="s">
        <v>3886</v>
      </c>
      <c r="E383" t="s">
        <v>3252</v>
      </c>
      <c r="F383" t="s">
        <v>2008</v>
      </c>
      <c r="G383" t="s">
        <v>3887</v>
      </c>
      <c r="H383" t="s">
        <v>3888</v>
      </c>
      <c r="I383" t="s">
        <v>3889</v>
      </c>
      <c r="J383" t="s">
        <v>3890</v>
      </c>
      <c r="K383" t="s">
        <v>3891</v>
      </c>
      <c r="L383">
        <v>2019</v>
      </c>
      <c r="M383" t="s">
        <v>677</v>
      </c>
      <c r="N383" t="s">
        <v>19</v>
      </c>
      <c r="O383" t="s">
        <v>1152</v>
      </c>
      <c r="P383" t="s">
        <v>3892</v>
      </c>
      <c r="Q383" t="s">
        <v>3893</v>
      </c>
      <c r="R383" t="s">
        <v>3894</v>
      </c>
    </row>
    <row r="384" spans="1:18">
      <c r="A384" s="2" t="str">
        <f>HYPERLINK("https://investorlist.com/investor/pif-nation?ref=Excel_ViewProfile","View Profile")</f>
        <v>View Profile</v>
      </c>
      <c r="B384" t="s">
        <v>3895</v>
      </c>
      <c r="C384" t="s">
        <v>19</v>
      </c>
      <c r="D384" t="s">
        <v>3896</v>
      </c>
      <c r="E384" t="s">
        <v>38</v>
      </c>
      <c r="F384" t="s">
        <v>210</v>
      </c>
      <c r="G384" t="s">
        <v>3897</v>
      </c>
      <c r="H384" t="s">
        <v>3898</v>
      </c>
      <c r="I384" t="s">
        <v>3899</v>
      </c>
      <c r="J384" t="s">
        <v>38</v>
      </c>
      <c r="K384" t="s">
        <v>3900</v>
      </c>
      <c r="L384" t="s">
        <v>38</v>
      </c>
      <c r="M384" t="s">
        <v>863</v>
      </c>
      <c r="N384" t="s">
        <v>487</v>
      </c>
      <c r="O384" t="s">
        <v>3901</v>
      </c>
      <c r="P384" t="s">
        <v>723</v>
      </c>
      <c r="Q384" t="s">
        <v>38</v>
      </c>
      <c r="R384" t="s">
        <v>38</v>
      </c>
    </row>
    <row r="385" spans="1:18">
      <c r="A385" s="2" t="str">
        <f>HYPERLINK("https://investorlist.com/investor/tusstar?ref=Excel_ViewProfile","View Profile")</f>
        <v>View Profile</v>
      </c>
      <c r="B385" t="s">
        <v>3902</v>
      </c>
      <c r="C385" t="s">
        <v>19</v>
      </c>
      <c r="D385" t="s">
        <v>3903</v>
      </c>
      <c r="E385" t="s">
        <v>3904</v>
      </c>
      <c r="F385" t="s">
        <v>225</v>
      </c>
      <c r="G385" t="s">
        <v>3905</v>
      </c>
      <c r="H385" t="s">
        <v>38</v>
      </c>
      <c r="I385" t="s">
        <v>3906</v>
      </c>
      <c r="J385" t="s">
        <v>3907</v>
      </c>
      <c r="K385" t="s">
        <v>3908</v>
      </c>
      <c r="L385">
        <v>1999</v>
      </c>
      <c r="M385" t="s">
        <v>229</v>
      </c>
      <c r="N385" t="s">
        <v>19</v>
      </c>
      <c r="O385" t="s">
        <v>3909</v>
      </c>
      <c r="P385" t="s">
        <v>3910</v>
      </c>
      <c r="Q385" t="s">
        <v>3911</v>
      </c>
      <c r="R385" t="s">
        <v>3912</v>
      </c>
    </row>
    <row r="386" spans="1:18">
      <c r="A386" s="2" t="str">
        <f>HYPERLINK("https://investorlist.com/investor/innoven-capital?ref=Excel_ViewProfile","View Profile")</f>
        <v>View Profile</v>
      </c>
      <c r="B386" t="s">
        <v>3913</v>
      </c>
      <c r="C386" t="s">
        <v>19</v>
      </c>
      <c r="D386" t="s">
        <v>3914</v>
      </c>
      <c r="E386" t="s">
        <v>38</v>
      </c>
      <c r="F386" t="s">
        <v>210</v>
      </c>
      <c r="G386" t="s">
        <v>3915</v>
      </c>
      <c r="H386" t="s">
        <v>38</v>
      </c>
      <c r="I386" t="s">
        <v>3916</v>
      </c>
      <c r="J386" t="s">
        <v>3917</v>
      </c>
      <c r="K386" t="s">
        <v>3918</v>
      </c>
      <c r="L386">
        <v>2015</v>
      </c>
      <c r="M386" t="s">
        <v>3919</v>
      </c>
      <c r="N386" t="s">
        <v>19</v>
      </c>
      <c r="O386" t="s">
        <v>3920</v>
      </c>
      <c r="P386" t="s">
        <v>3921</v>
      </c>
      <c r="Q386" t="s">
        <v>3922</v>
      </c>
      <c r="R386" t="s">
        <v>3923</v>
      </c>
    </row>
    <row r="387" spans="1:18">
      <c r="A387" s="2" t="str">
        <f>HYPERLINK("https://investorlist.com/investor/spil-ventures?ref=Excel_ViewProfile","View Profile")</f>
        <v>View Profile</v>
      </c>
      <c r="B387" t="s">
        <v>3924</v>
      </c>
      <c r="C387" t="s">
        <v>530</v>
      </c>
      <c r="D387" t="s">
        <v>3925</v>
      </c>
      <c r="E387" t="s">
        <v>3926</v>
      </c>
      <c r="F387" t="s">
        <v>718</v>
      </c>
      <c r="G387" t="s">
        <v>3927</v>
      </c>
      <c r="H387" t="s">
        <v>38</v>
      </c>
      <c r="I387" t="s">
        <v>3928</v>
      </c>
      <c r="J387" t="s">
        <v>38</v>
      </c>
      <c r="K387" t="s">
        <v>3929</v>
      </c>
      <c r="L387" t="s">
        <v>38</v>
      </c>
      <c r="M387" t="s">
        <v>3930</v>
      </c>
      <c r="N387" t="s">
        <v>19</v>
      </c>
      <c r="O387" t="s">
        <v>3931</v>
      </c>
      <c r="P387" t="s">
        <v>3932</v>
      </c>
      <c r="Q387" t="s">
        <v>38</v>
      </c>
      <c r="R387" t="s">
        <v>38</v>
      </c>
    </row>
    <row r="388" spans="1:18">
      <c r="A388" s="2" t="str">
        <f>HYPERLINK("https://investorlist.com/investor/tiger-global-management?ref=Excel_ViewProfile","View Profile")</f>
        <v>View Profile</v>
      </c>
      <c r="B388" t="s">
        <v>3933</v>
      </c>
      <c r="C388" t="s">
        <v>136</v>
      </c>
      <c r="D388" t="s">
        <v>3934</v>
      </c>
      <c r="E388" t="s">
        <v>324</v>
      </c>
      <c r="F388" t="s">
        <v>198</v>
      </c>
      <c r="G388" t="s">
        <v>3935</v>
      </c>
      <c r="H388" t="s">
        <v>3936</v>
      </c>
      <c r="I388" t="s">
        <v>3937</v>
      </c>
      <c r="J388" t="s">
        <v>38</v>
      </c>
      <c r="K388" t="s">
        <v>3938</v>
      </c>
      <c r="L388">
        <v>2001</v>
      </c>
      <c r="M388" t="s">
        <v>28</v>
      </c>
      <c r="N388" t="s">
        <v>217</v>
      </c>
      <c r="O388" t="s">
        <v>3939</v>
      </c>
      <c r="P388" t="s">
        <v>3940</v>
      </c>
      <c r="Q388" t="s">
        <v>3941</v>
      </c>
      <c r="R388" t="s">
        <v>3942</v>
      </c>
    </row>
    <row r="389" spans="1:18">
      <c r="A389" s="2" t="str">
        <f>HYPERLINK("https://investorlist.com/investor/a15?ref=Excel_ViewProfile","View Profile")</f>
        <v>View Profile</v>
      </c>
      <c r="B389" t="s">
        <v>3943</v>
      </c>
      <c r="C389" t="s">
        <v>19</v>
      </c>
      <c r="D389" t="s">
        <v>3944</v>
      </c>
      <c r="E389" t="s">
        <v>2172</v>
      </c>
      <c r="F389" t="s">
        <v>265</v>
      </c>
      <c r="G389" t="s">
        <v>3945</v>
      </c>
      <c r="H389" t="s">
        <v>3946</v>
      </c>
      <c r="I389" t="s">
        <v>3947</v>
      </c>
      <c r="J389" t="s">
        <v>3948</v>
      </c>
      <c r="K389" t="s">
        <v>3949</v>
      </c>
      <c r="L389">
        <v>2014</v>
      </c>
      <c r="M389" t="s">
        <v>3950</v>
      </c>
      <c r="N389" t="s">
        <v>19</v>
      </c>
      <c r="O389" t="s">
        <v>3951</v>
      </c>
      <c r="P389" t="s">
        <v>3952</v>
      </c>
      <c r="Q389" t="s">
        <v>3953</v>
      </c>
      <c r="R389" t="s">
        <v>3954</v>
      </c>
    </row>
    <row r="390" spans="1:18">
      <c r="A390" s="2" t="str">
        <f>HYPERLINK("https://investorlist.com/investor/factor-e-ventures?ref=Excel_ViewProfile","View Profile")</f>
        <v>View Profile</v>
      </c>
      <c r="B390" t="s">
        <v>3955</v>
      </c>
      <c r="C390" t="s">
        <v>19</v>
      </c>
      <c r="D390" t="s">
        <v>3956</v>
      </c>
      <c r="E390" t="s">
        <v>3957</v>
      </c>
      <c r="F390" t="s">
        <v>198</v>
      </c>
      <c r="G390" t="s">
        <v>3958</v>
      </c>
      <c r="H390" t="s">
        <v>3959</v>
      </c>
      <c r="I390" t="s">
        <v>3960</v>
      </c>
      <c r="J390" t="s">
        <v>38</v>
      </c>
      <c r="K390" t="s">
        <v>3961</v>
      </c>
      <c r="L390">
        <v>2013</v>
      </c>
      <c r="M390" t="s">
        <v>2492</v>
      </c>
      <c r="N390" t="s">
        <v>119</v>
      </c>
      <c r="O390" t="s">
        <v>3962</v>
      </c>
      <c r="P390" t="s">
        <v>3963</v>
      </c>
      <c r="Q390" t="s">
        <v>3964</v>
      </c>
      <c r="R390" t="s">
        <v>3965</v>
      </c>
    </row>
    <row r="391" spans="1:18">
      <c r="A391" s="2" t="str">
        <f>HYPERLINK("https://investorlist.com/investor/eplanet-capital?ref=Excel_ViewProfile","View Profile")</f>
        <v>View Profile</v>
      </c>
      <c r="B391" t="s">
        <v>3966</v>
      </c>
      <c r="C391" t="s">
        <v>19</v>
      </c>
      <c r="D391" t="s">
        <v>3967</v>
      </c>
      <c r="E391" t="s">
        <v>312</v>
      </c>
      <c r="F391" t="s">
        <v>198</v>
      </c>
      <c r="G391" t="s">
        <v>3968</v>
      </c>
      <c r="H391" t="s">
        <v>3969</v>
      </c>
      <c r="I391" t="s">
        <v>3970</v>
      </c>
      <c r="J391" t="s">
        <v>3971</v>
      </c>
      <c r="K391" t="s">
        <v>3972</v>
      </c>
      <c r="L391">
        <v>1999</v>
      </c>
      <c r="M391" t="s">
        <v>3973</v>
      </c>
      <c r="N391" t="s">
        <v>19</v>
      </c>
      <c r="O391" t="s">
        <v>3974</v>
      </c>
      <c r="P391" t="s">
        <v>3975</v>
      </c>
      <c r="Q391" t="s">
        <v>3976</v>
      </c>
      <c r="R391" t="s">
        <v>3977</v>
      </c>
    </row>
    <row r="392" spans="1:18">
      <c r="A392" s="2" t="str">
        <f>HYPERLINK("https://investorlist.com/investor/hidden-hill-capital?ref=Excel_ViewProfile","View Profile")</f>
        <v>View Profile</v>
      </c>
      <c r="B392" t="s">
        <v>3978</v>
      </c>
      <c r="C392" t="s">
        <v>181</v>
      </c>
      <c r="D392" t="s">
        <v>3979</v>
      </c>
      <c r="E392" t="s">
        <v>38</v>
      </c>
      <c r="F392" t="s">
        <v>225</v>
      </c>
      <c r="G392" t="s">
        <v>3980</v>
      </c>
      <c r="H392" t="s">
        <v>38</v>
      </c>
      <c r="I392" t="s">
        <v>38</v>
      </c>
      <c r="J392" t="s">
        <v>38</v>
      </c>
      <c r="K392" t="s">
        <v>3981</v>
      </c>
      <c r="L392">
        <v>2018</v>
      </c>
      <c r="M392" t="s">
        <v>3982</v>
      </c>
      <c r="N392" t="s">
        <v>217</v>
      </c>
      <c r="O392" t="s">
        <v>3983</v>
      </c>
      <c r="P392" t="s">
        <v>3984</v>
      </c>
      <c r="Q392" t="s">
        <v>3985</v>
      </c>
      <c r="R392" t="s">
        <v>3986</v>
      </c>
    </row>
    <row r="393" spans="1:18">
      <c r="A393" s="2" t="str">
        <f>HYPERLINK("https://investorlist.com/investor/volcanics-venture?ref=Excel_ViewProfile","View Profile")</f>
        <v>View Profile</v>
      </c>
      <c r="B393" t="s">
        <v>3987</v>
      </c>
      <c r="C393" t="s">
        <v>19</v>
      </c>
      <c r="D393" t="s">
        <v>3988</v>
      </c>
      <c r="E393" t="s">
        <v>3989</v>
      </c>
      <c r="F393" t="s">
        <v>225</v>
      </c>
      <c r="G393" t="s">
        <v>3990</v>
      </c>
      <c r="H393" t="s">
        <v>38</v>
      </c>
      <c r="I393" t="s">
        <v>38</v>
      </c>
      <c r="J393" t="s">
        <v>38</v>
      </c>
      <c r="K393" t="s">
        <v>3991</v>
      </c>
      <c r="L393">
        <v>2016</v>
      </c>
      <c r="M393" t="s">
        <v>118</v>
      </c>
      <c r="N393" t="s">
        <v>19</v>
      </c>
      <c r="O393" t="s">
        <v>3992</v>
      </c>
      <c r="P393" t="s">
        <v>3993</v>
      </c>
      <c r="Q393" t="s">
        <v>3994</v>
      </c>
      <c r="R393" t="s">
        <v>3995</v>
      </c>
    </row>
    <row r="394" spans="1:18">
      <c r="A394" s="2" t="str">
        <f>HYPERLINK("https://investorlist.com/investor/cpe?ref=Excel_ViewProfile","View Profile")</f>
        <v>View Profile</v>
      </c>
      <c r="B394" t="s">
        <v>3996</v>
      </c>
      <c r="C394" t="s">
        <v>181</v>
      </c>
      <c r="D394" t="s">
        <v>3997</v>
      </c>
      <c r="E394" t="s">
        <v>1102</v>
      </c>
      <c r="F394" t="s">
        <v>225</v>
      </c>
      <c r="G394" t="s">
        <v>3998</v>
      </c>
      <c r="H394" t="s">
        <v>3999</v>
      </c>
      <c r="I394" t="s">
        <v>4000</v>
      </c>
      <c r="J394" t="s">
        <v>4001</v>
      </c>
      <c r="K394" t="s">
        <v>4002</v>
      </c>
      <c r="L394">
        <v>2008</v>
      </c>
      <c r="M394" t="s">
        <v>282</v>
      </c>
      <c r="N394" t="s">
        <v>4003</v>
      </c>
      <c r="O394" t="s">
        <v>4004</v>
      </c>
      <c r="P394" t="s">
        <v>4005</v>
      </c>
      <c r="Q394" t="s">
        <v>4006</v>
      </c>
      <c r="R394" t="s">
        <v>4007</v>
      </c>
    </row>
    <row r="395" spans="1:18">
      <c r="A395" s="2" t="str">
        <f>HYPERLINK("https://investorlist.com/investor/dcp-capital?ref=Excel_ViewProfile","View Profile")</f>
        <v>View Profile</v>
      </c>
      <c r="B395" t="s">
        <v>4008</v>
      </c>
      <c r="C395" t="s">
        <v>181</v>
      </c>
      <c r="D395" t="s">
        <v>4009</v>
      </c>
      <c r="E395" t="s">
        <v>38</v>
      </c>
      <c r="F395" t="s">
        <v>225</v>
      </c>
      <c r="G395" t="s">
        <v>4010</v>
      </c>
      <c r="H395" t="s">
        <v>38</v>
      </c>
      <c r="I395" t="s">
        <v>4011</v>
      </c>
      <c r="J395" t="s">
        <v>38</v>
      </c>
      <c r="K395" t="s">
        <v>4012</v>
      </c>
      <c r="L395" t="s">
        <v>38</v>
      </c>
      <c r="M395" t="s">
        <v>282</v>
      </c>
      <c r="N395" t="s">
        <v>217</v>
      </c>
      <c r="O395" t="s">
        <v>4013</v>
      </c>
      <c r="P395" t="s">
        <v>4014</v>
      </c>
      <c r="Q395" t="s">
        <v>38</v>
      </c>
      <c r="R395" t="s">
        <v>38</v>
      </c>
    </row>
    <row r="396" spans="1:18">
      <c r="A396" s="2" t="str">
        <f>HYPERLINK("https://investorlist.com/investor/blueorchard-impact-investment-managers?ref=Excel_ViewProfile","View Profile")</f>
        <v>View Profile</v>
      </c>
      <c r="B396" t="s">
        <v>4015</v>
      </c>
      <c r="C396" t="s">
        <v>136</v>
      </c>
      <c r="D396" t="s">
        <v>4016</v>
      </c>
      <c r="E396" t="s">
        <v>1114</v>
      </c>
      <c r="F396" t="s">
        <v>1115</v>
      </c>
      <c r="G396" t="s">
        <v>1116</v>
      </c>
      <c r="H396" t="s">
        <v>1117</v>
      </c>
      <c r="I396" t="s">
        <v>1118</v>
      </c>
      <c r="J396" t="s">
        <v>4017</v>
      </c>
      <c r="K396" t="s">
        <v>4018</v>
      </c>
      <c r="L396">
        <v>2001</v>
      </c>
      <c r="M396" t="s">
        <v>130</v>
      </c>
      <c r="N396" t="s">
        <v>4019</v>
      </c>
      <c r="O396" t="s">
        <v>777</v>
      </c>
      <c r="P396" t="s">
        <v>4020</v>
      </c>
      <c r="Q396" t="s">
        <v>3693</v>
      </c>
      <c r="R396" t="s">
        <v>4021</v>
      </c>
    </row>
    <row r="397" spans="1:18">
      <c r="A397" s="2" t="str">
        <f>HYPERLINK("https://investorlist.com/investor/golden-concord-asia?ref=Excel_ViewProfile","View Profile")</f>
        <v>View Profile</v>
      </c>
      <c r="B397" t="s">
        <v>4022</v>
      </c>
      <c r="C397" t="s">
        <v>136</v>
      </c>
      <c r="D397" t="s">
        <v>4023</v>
      </c>
      <c r="E397" t="s">
        <v>38</v>
      </c>
      <c r="F397" t="s">
        <v>585</v>
      </c>
      <c r="G397" t="s">
        <v>4024</v>
      </c>
      <c r="H397" t="s">
        <v>38</v>
      </c>
      <c r="I397" t="s">
        <v>4025</v>
      </c>
      <c r="J397" t="s">
        <v>4026</v>
      </c>
      <c r="K397" t="s">
        <v>4027</v>
      </c>
      <c r="L397" t="s">
        <v>38</v>
      </c>
      <c r="M397" t="s">
        <v>202</v>
      </c>
      <c r="N397" t="s">
        <v>4028</v>
      </c>
      <c r="O397" t="s">
        <v>2898</v>
      </c>
      <c r="P397" t="s">
        <v>4029</v>
      </c>
      <c r="Q397" t="s">
        <v>4030</v>
      </c>
      <c r="R397" t="s">
        <v>38</v>
      </c>
    </row>
    <row r="398" spans="1:18">
      <c r="A398" s="2" t="str">
        <f>HYPERLINK("https://investorlist.com/investor/istithmar-hotels?ref=Excel_ViewProfile","View Profile")</f>
        <v>View Profile</v>
      </c>
      <c r="B398" t="s">
        <v>4031</v>
      </c>
      <c r="C398" t="s">
        <v>136</v>
      </c>
      <c r="D398" t="s">
        <v>4032</v>
      </c>
      <c r="E398" t="s">
        <v>71</v>
      </c>
      <c r="F398" t="s">
        <v>22</v>
      </c>
      <c r="G398" t="s">
        <v>4033</v>
      </c>
      <c r="H398" t="s">
        <v>38</v>
      </c>
      <c r="I398" t="s">
        <v>4034</v>
      </c>
      <c r="J398" t="s">
        <v>4035</v>
      </c>
      <c r="K398" t="s">
        <v>4036</v>
      </c>
      <c r="L398">
        <v>2006</v>
      </c>
      <c r="M398" t="s">
        <v>4037</v>
      </c>
      <c r="N398" t="s">
        <v>294</v>
      </c>
      <c r="O398" t="s">
        <v>4038</v>
      </c>
      <c r="P398" t="s">
        <v>4039</v>
      </c>
      <c r="Q398" t="s">
        <v>4040</v>
      </c>
      <c r="R398" t="s">
        <v>4041</v>
      </c>
    </row>
    <row r="399" spans="1:18">
      <c r="A399" s="2" t="str">
        <f>HYPERLINK("https://investorlist.com/investor/eureeca?ref=Excel_ViewProfile","View Profile")</f>
        <v>View Profile</v>
      </c>
      <c r="B399" t="s">
        <v>4042</v>
      </c>
      <c r="C399" t="s">
        <v>19</v>
      </c>
      <c r="D399" t="s">
        <v>4043</v>
      </c>
      <c r="E399" t="s">
        <v>934</v>
      </c>
      <c r="F399" t="s">
        <v>360</v>
      </c>
      <c r="G399" t="s">
        <v>4044</v>
      </c>
      <c r="H399" t="s">
        <v>4045</v>
      </c>
      <c r="I399" t="s">
        <v>4046</v>
      </c>
      <c r="J399" t="s">
        <v>4047</v>
      </c>
      <c r="K399" t="s">
        <v>4048</v>
      </c>
      <c r="L399">
        <v>2013</v>
      </c>
      <c r="M399" t="s">
        <v>677</v>
      </c>
      <c r="N399" t="s">
        <v>217</v>
      </c>
      <c r="O399" t="s">
        <v>4049</v>
      </c>
      <c r="P399" t="s">
        <v>4050</v>
      </c>
      <c r="Q399" t="s">
        <v>4051</v>
      </c>
      <c r="R399" t="s">
        <v>4052</v>
      </c>
    </row>
    <row r="400" spans="1:18">
      <c r="A400" s="2" t="str">
        <f>HYPERLINK("https://investorlist.com/investor/tiaa-cref-emerging-markets-equity-index-fund-retail-class?ref=Excel_ViewProfile","View Profile")</f>
        <v>View Profile</v>
      </c>
      <c r="B400" t="s">
        <v>4053</v>
      </c>
      <c r="C400" t="s">
        <v>1424</v>
      </c>
      <c r="D400" t="s">
        <v>4054</v>
      </c>
      <c r="E400" t="s">
        <v>2517</v>
      </c>
      <c r="F400" t="s">
        <v>198</v>
      </c>
      <c r="G400" t="s">
        <v>4055</v>
      </c>
      <c r="H400" t="s">
        <v>38</v>
      </c>
      <c r="I400" t="s">
        <v>38</v>
      </c>
      <c r="J400" t="s">
        <v>4056</v>
      </c>
      <c r="K400" t="s">
        <v>4057</v>
      </c>
      <c r="L400">
        <v>2010</v>
      </c>
      <c r="M400" t="s">
        <v>38</v>
      </c>
      <c r="N400" t="s">
        <v>3321</v>
      </c>
      <c r="O400" t="s">
        <v>4058</v>
      </c>
      <c r="P400" t="s">
        <v>4059</v>
      </c>
      <c r="Q400" t="s">
        <v>4060</v>
      </c>
      <c r="R400" t="s">
        <v>4061</v>
      </c>
    </row>
    <row r="401" spans="1:18">
      <c r="A401" s="2" t="str">
        <f>HYPERLINK("https://investorlist.com/investor/matthews-international-capital-management-llc?ref=Excel_ViewProfile","View Profile")</f>
        <v>View Profile</v>
      </c>
      <c r="B401" t="s">
        <v>4062</v>
      </c>
      <c r="C401" t="s">
        <v>1424</v>
      </c>
      <c r="D401" t="s">
        <v>4063</v>
      </c>
      <c r="E401" t="s">
        <v>312</v>
      </c>
      <c r="F401" t="s">
        <v>198</v>
      </c>
      <c r="G401" t="s">
        <v>4064</v>
      </c>
      <c r="H401" t="s">
        <v>38</v>
      </c>
      <c r="I401" t="s">
        <v>4065</v>
      </c>
      <c r="J401" t="s">
        <v>4066</v>
      </c>
      <c r="K401" t="s">
        <v>4067</v>
      </c>
      <c r="L401">
        <v>1991</v>
      </c>
      <c r="M401" t="s">
        <v>2188</v>
      </c>
      <c r="N401" t="s">
        <v>203</v>
      </c>
      <c r="O401" t="s">
        <v>3387</v>
      </c>
      <c r="P401" t="s">
        <v>2952</v>
      </c>
      <c r="Q401" t="s">
        <v>4068</v>
      </c>
      <c r="R401" t="s">
        <v>4069</v>
      </c>
    </row>
    <row r="402" spans="1:18">
      <c r="A402" s="2" t="str">
        <f>HYPERLINK("https://investorlist.com/investor/akd-securities-limited?ref=Excel_ViewProfile","View Profile")</f>
        <v>View Profile</v>
      </c>
      <c r="B402" t="s">
        <v>4070</v>
      </c>
      <c r="C402" t="s">
        <v>250</v>
      </c>
      <c r="D402" t="s">
        <v>4071</v>
      </c>
      <c r="E402" t="s">
        <v>846</v>
      </c>
      <c r="F402" t="s">
        <v>806</v>
      </c>
      <c r="G402" t="s">
        <v>4072</v>
      </c>
      <c r="H402" t="s">
        <v>38</v>
      </c>
      <c r="I402" t="s">
        <v>4073</v>
      </c>
      <c r="J402" t="s">
        <v>4074</v>
      </c>
      <c r="K402" t="s">
        <v>4075</v>
      </c>
      <c r="L402">
        <v>1962</v>
      </c>
      <c r="M402" t="s">
        <v>130</v>
      </c>
      <c r="N402" t="s">
        <v>4076</v>
      </c>
      <c r="O402" t="s">
        <v>4077</v>
      </c>
      <c r="P402" t="s">
        <v>812</v>
      </c>
      <c r="Q402" t="s">
        <v>38</v>
      </c>
      <c r="R402" t="s">
        <v>38</v>
      </c>
    </row>
    <row r="403" spans="1:18">
      <c r="A403" s="2" t="str">
        <f>HYPERLINK("https://investorlist.com/investor/tejara-capital?ref=Excel_ViewProfile","View Profile")</f>
        <v>View Profile</v>
      </c>
      <c r="B403" t="s">
        <v>4078</v>
      </c>
      <c r="C403" t="s">
        <v>181</v>
      </c>
      <c r="D403" t="s">
        <v>4079</v>
      </c>
      <c r="E403" t="s">
        <v>934</v>
      </c>
      <c r="F403" t="s">
        <v>360</v>
      </c>
      <c r="G403" t="s">
        <v>4080</v>
      </c>
      <c r="H403" t="s">
        <v>4081</v>
      </c>
      <c r="I403" t="s">
        <v>4082</v>
      </c>
      <c r="J403" t="s">
        <v>4083</v>
      </c>
      <c r="K403" t="s">
        <v>4084</v>
      </c>
      <c r="L403">
        <v>2005</v>
      </c>
      <c r="M403" t="s">
        <v>563</v>
      </c>
      <c r="N403" t="s">
        <v>4085</v>
      </c>
      <c r="O403" t="s">
        <v>4086</v>
      </c>
      <c r="P403" t="s">
        <v>4087</v>
      </c>
      <c r="Q403" t="s">
        <v>4088</v>
      </c>
      <c r="R403" t="s">
        <v>4089</v>
      </c>
    </row>
    <row r="404" spans="1:18">
      <c r="A404" s="2" t="str">
        <f>HYPERLINK("https://investorlist.com/investor/cdh-fund-v-l-p?ref=Excel_ViewProfile","View Profile")</f>
        <v>View Profile</v>
      </c>
      <c r="B404" t="s">
        <v>4090</v>
      </c>
      <c r="C404" t="s">
        <v>181</v>
      </c>
      <c r="D404" t="s">
        <v>4091</v>
      </c>
      <c r="E404" t="s">
        <v>1102</v>
      </c>
      <c r="F404" t="s">
        <v>225</v>
      </c>
      <c r="G404" t="s">
        <v>2700</v>
      </c>
      <c r="H404" t="s">
        <v>38</v>
      </c>
      <c r="I404" t="s">
        <v>2702</v>
      </c>
      <c r="J404" t="s">
        <v>2703</v>
      </c>
      <c r="K404" t="s">
        <v>4092</v>
      </c>
      <c r="L404" t="s">
        <v>38</v>
      </c>
      <c r="M404" t="s">
        <v>2705</v>
      </c>
      <c r="N404" t="s">
        <v>2706</v>
      </c>
      <c r="O404" t="s">
        <v>4093</v>
      </c>
      <c r="P404" t="s">
        <v>2708</v>
      </c>
      <c r="Q404" t="s">
        <v>38</v>
      </c>
      <c r="R404" t="s">
        <v>38</v>
      </c>
    </row>
    <row r="405" spans="1:18">
      <c r="A405" s="2" t="str">
        <f>HYPERLINK("https://investorlist.com/investor/overlook-investments-limited?ref=Excel_ViewProfile","View Profile")</f>
        <v>View Profile</v>
      </c>
      <c r="B405" t="s">
        <v>4094</v>
      </c>
      <c r="C405" t="s">
        <v>136</v>
      </c>
      <c r="D405" t="s">
        <v>4095</v>
      </c>
      <c r="E405" t="s">
        <v>4096</v>
      </c>
      <c r="F405" t="s">
        <v>585</v>
      </c>
      <c r="G405" t="s">
        <v>4097</v>
      </c>
      <c r="H405" t="s">
        <v>38</v>
      </c>
      <c r="I405" t="s">
        <v>4098</v>
      </c>
      <c r="J405" t="s">
        <v>4099</v>
      </c>
      <c r="K405" t="s">
        <v>4100</v>
      </c>
      <c r="L405" t="s">
        <v>38</v>
      </c>
      <c r="M405" t="s">
        <v>1278</v>
      </c>
      <c r="N405" t="s">
        <v>4101</v>
      </c>
      <c r="O405" t="s">
        <v>4102</v>
      </c>
      <c r="P405" t="s">
        <v>4103</v>
      </c>
      <c r="Q405" t="s">
        <v>38</v>
      </c>
      <c r="R405" t="s">
        <v>38</v>
      </c>
    </row>
    <row r="406" spans="1:18">
      <c r="A406" s="2" t="str">
        <f>HYPERLINK("https://investorlist.com/investor/keppel-asia-infrastructure-fund?ref=Excel_ViewProfile","View Profile")</f>
        <v>View Profile</v>
      </c>
      <c r="B406" t="s">
        <v>4104</v>
      </c>
      <c r="C406" t="s">
        <v>181</v>
      </c>
      <c r="D406" t="s">
        <v>4105</v>
      </c>
      <c r="E406" t="s">
        <v>38</v>
      </c>
      <c r="F406" t="s">
        <v>210</v>
      </c>
      <c r="G406" t="s">
        <v>4106</v>
      </c>
      <c r="H406" t="s">
        <v>38</v>
      </c>
      <c r="I406" t="s">
        <v>4107</v>
      </c>
      <c r="J406" t="s">
        <v>38</v>
      </c>
      <c r="K406" t="s">
        <v>4108</v>
      </c>
      <c r="L406">
        <v>2022</v>
      </c>
      <c r="M406" t="s">
        <v>750</v>
      </c>
      <c r="N406" t="s">
        <v>4109</v>
      </c>
      <c r="O406" t="s">
        <v>4110</v>
      </c>
      <c r="P406" t="s">
        <v>2439</v>
      </c>
      <c r="Q406" t="s">
        <v>4111</v>
      </c>
      <c r="R406" t="s">
        <v>4112</v>
      </c>
    </row>
    <row r="407" spans="1:18">
      <c r="A407" s="2" t="str">
        <f>HYPERLINK("https://investorlist.com/investor/issa-aghabi?ref=Excel_ViewProfile","View Profile")</f>
        <v>View Profile</v>
      </c>
      <c r="B407" t="s">
        <v>4113</v>
      </c>
      <c r="C407" t="s">
        <v>136</v>
      </c>
      <c r="D407" t="s">
        <v>4114</v>
      </c>
      <c r="E407" t="s">
        <v>21</v>
      </c>
      <c r="F407" t="s">
        <v>22</v>
      </c>
      <c r="G407" t="s">
        <v>4115</v>
      </c>
      <c r="H407" t="s">
        <v>4116</v>
      </c>
      <c r="I407" t="s">
        <v>4117</v>
      </c>
      <c r="J407" t="s">
        <v>38</v>
      </c>
      <c r="K407" t="s">
        <v>4118</v>
      </c>
      <c r="L407">
        <v>2020</v>
      </c>
      <c r="M407" t="s">
        <v>677</v>
      </c>
      <c r="N407" t="s">
        <v>19</v>
      </c>
      <c r="O407" t="s">
        <v>4119</v>
      </c>
      <c r="P407" t="s">
        <v>4120</v>
      </c>
      <c r="Q407" t="s">
        <v>4121</v>
      </c>
      <c r="R407" t="s">
        <v>4122</v>
      </c>
    </row>
    <row r="408" spans="1:18">
      <c r="A408" s="2" t="str">
        <f>HYPERLINK("https://investorlist.com/investor/fatima-gobi-ventures?ref=Excel_ViewProfile","View Profile")</f>
        <v>View Profile</v>
      </c>
      <c r="B408" t="s">
        <v>4123</v>
      </c>
      <c r="C408" t="s">
        <v>19</v>
      </c>
      <c r="D408" t="s">
        <v>4124</v>
      </c>
      <c r="E408" t="s">
        <v>38</v>
      </c>
      <c r="F408" t="s">
        <v>806</v>
      </c>
      <c r="G408" t="s">
        <v>4125</v>
      </c>
      <c r="H408" t="s">
        <v>38</v>
      </c>
      <c r="I408" t="s">
        <v>4126</v>
      </c>
      <c r="J408" t="s">
        <v>4127</v>
      </c>
      <c r="K408" t="s">
        <v>4128</v>
      </c>
      <c r="L408">
        <v>2015</v>
      </c>
      <c r="M408" t="s">
        <v>1739</v>
      </c>
      <c r="N408" t="s">
        <v>19</v>
      </c>
      <c r="O408" t="s">
        <v>4129</v>
      </c>
      <c r="P408" t="s">
        <v>812</v>
      </c>
      <c r="Q408" t="s">
        <v>4130</v>
      </c>
      <c r="R408" t="s">
        <v>4131</v>
      </c>
    </row>
    <row r="409" spans="1:18">
      <c r="A409" s="2" t="str">
        <f>HYPERLINK("https://investorlist.com/investor/sc-ventures?ref=Excel_ViewProfile","View Profile")</f>
        <v>View Profile</v>
      </c>
      <c r="B409" t="s">
        <v>4132</v>
      </c>
      <c r="C409" t="s">
        <v>530</v>
      </c>
      <c r="D409" t="s">
        <v>4133</v>
      </c>
      <c r="E409" t="s">
        <v>38</v>
      </c>
      <c r="F409" t="s">
        <v>360</v>
      </c>
      <c r="G409" t="s">
        <v>4134</v>
      </c>
      <c r="H409" t="s">
        <v>4135</v>
      </c>
      <c r="I409" t="s">
        <v>38</v>
      </c>
      <c r="J409" t="s">
        <v>38</v>
      </c>
      <c r="K409" t="s">
        <v>4136</v>
      </c>
      <c r="L409">
        <v>2018</v>
      </c>
      <c r="M409" t="s">
        <v>118</v>
      </c>
      <c r="N409" t="s">
        <v>19</v>
      </c>
      <c r="O409" t="s">
        <v>177</v>
      </c>
      <c r="P409" t="s">
        <v>4137</v>
      </c>
      <c r="Q409" t="s">
        <v>4138</v>
      </c>
      <c r="R409" t="s">
        <v>4139</v>
      </c>
    </row>
    <row r="410" spans="1:18">
      <c r="A410" s="2" t="str">
        <f>HYPERLINK("https://investorlist.com/investor/xiaomi-ventures?ref=Excel_ViewProfile","View Profile")</f>
        <v>View Profile</v>
      </c>
      <c r="B410" t="s">
        <v>4140</v>
      </c>
      <c r="C410" t="s">
        <v>530</v>
      </c>
      <c r="D410" t="s">
        <v>4009</v>
      </c>
      <c r="E410" t="s">
        <v>38</v>
      </c>
      <c r="F410" t="s">
        <v>225</v>
      </c>
      <c r="G410" t="s">
        <v>4141</v>
      </c>
      <c r="H410" t="s">
        <v>38</v>
      </c>
      <c r="I410" t="s">
        <v>4142</v>
      </c>
      <c r="J410" t="s">
        <v>38</v>
      </c>
      <c r="K410" t="s">
        <v>4143</v>
      </c>
      <c r="L410">
        <v>2010</v>
      </c>
      <c r="M410" t="s">
        <v>118</v>
      </c>
      <c r="N410" t="s">
        <v>19</v>
      </c>
      <c r="O410" t="s">
        <v>4144</v>
      </c>
      <c r="P410" t="s">
        <v>4145</v>
      </c>
      <c r="Q410" t="s">
        <v>4146</v>
      </c>
      <c r="R410" t="s">
        <v>4147</v>
      </c>
    </row>
    <row r="411" spans="1:18">
      <c r="A411" s="2" t="str">
        <f>HYPERLINK("https://investorlist.com/investor/1955-capital?ref=Excel_ViewProfile","View Profile")</f>
        <v>View Profile</v>
      </c>
      <c r="B411" t="s">
        <v>4148</v>
      </c>
      <c r="C411" t="s">
        <v>19</v>
      </c>
      <c r="D411" t="s">
        <v>4149</v>
      </c>
      <c r="E411" t="s">
        <v>312</v>
      </c>
      <c r="F411" t="s">
        <v>198</v>
      </c>
      <c r="G411" t="s">
        <v>4150</v>
      </c>
      <c r="H411" t="s">
        <v>4151</v>
      </c>
      <c r="I411" t="s">
        <v>4152</v>
      </c>
      <c r="J411" t="s">
        <v>4153</v>
      </c>
      <c r="K411" t="s">
        <v>4154</v>
      </c>
      <c r="L411">
        <v>2015</v>
      </c>
      <c r="M411" t="s">
        <v>737</v>
      </c>
      <c r="N411" t="s">
        <v>19</v>
      </c>
      <c r="O411" t="s">
        <v>4155</v>
      </c>
      <c r="P411" t="s">
        <v>4156</v>
      </c>
      <c r="Q411" t="s">
        <v>4157</v>
      </c>
      <c r="R411" t="s">
        <v>38</v>
      </c>
    </row>
    <row r="412" spans="1:18">
      <c r="A412" s="2" t="str">
        <f>HYPERLINK("https://investorlist.com/investor/brick-and-mortar-ventures?ref=Excel_ViewProfile","View Profile")</f>
        <v>View Profile</v>
      </c>
      <c r="B412" t="s">
        <v>4158</v>
      </c>
      <c r="C412" t="s">
        <v>19</v>
      </c>
      <c r="D412" t="s">
        <v>1725</v>
      </c>
      <c r="E412" t="s">
        <v>312</v>
      </c>
      <c r="F412" t="s">
        <v>198</v>
      </c>
      <c r="G412" t="s">
        <v>4159</v>
      </c>
      <c r="H412" t="s">
        <v>1727</v>
      </c>
      <c r="I412" t="s">
        <v>1728</v>
      </c>
      <c r="J412" t="s">
        <v>1729</v>
      </c>
      <c r="K412" t="s">
        <v>4160</v>
      </c>
      <c r="L412">
        <v>2015</v>
      </c>
      <c r="M412" t="s">
        <v>64</v>
      </c>
      <c r="N412" t="s">
        <v>19</v>
      </c>
      <c r="O412" t="s">
        <v>4161</v>
      </c>
      <c r="P412" t="s">
        <v>1732</v>
      </c>
      <c r="Q412" t="s">
        <v>4162</v>
      </c>
      <c r="R412" t="s">
        <v>4163</v>
      </c>
    </row>
    <row r="413" spans="1:18">
      <c r="A413" s="2" t="str">
        <f>HYPERLINK("https://investorlist.com/investor/al-jomaih-holding?ref=Excel_ViewProfile","View Profile")</f>
        <v>View Profile</v>
      </c>
      <c r="B413" t="s">
        <v>4164</v>
      </c>
      <c r="C413" t="s">
        <v>162</v>
      </c>
      <c r="D413" t="s">
        <v>4165</v>
      </c>
      <c r="E413" t="s">
        <v>457</v>
      </c>
      <c r="F413" t="s">
        <v>301</v>
      </c>
      <c r="G413" t="s">
        <v>4166</v>
      </c>
      <c r="H413" t="s">
        <v>4167</v>
      </c>
      <c r="I413" t="s">
        <v>4168</v>
      </c>
      <c r="J413" t="s">
        <v>4169</v>
      </c>
      <c r="K413" t="s">
        <v>4170</v>
      </c>
      <c r="L413">
        <v>1936</v>
      </c>
      <c r="M413" t="s">
        <v>202</v>
      </c>
      <c r="N413" t="s">
        <v>4171</v>
      </c>
      <c r="O413" t="s">
        <v>4172</v>
      </c>
      <c r="P413" t="s">
        <v>4173</v>
      </c>
      <c r="Q413" t="s">
        <v>4174</v>
      </c>
      <c r="R413" t="s">
        <v>4175</v>
      </c>
    </row>
    <row r="414" spans="1:18">
      <c r="A414" s="2" t="str">
        <f>HYPERLINK("https://investorlist.com/investor/waterway-ventures?ref=Excel_ViewProfile","View Profile")</f>
        <v>View Profile</v>
      </c>
      <c r="B414" t="s">
        <v>4176</v>
      </c>
      <c r="C414" t="s">
        <v>19</v>
      </c>
      <c r="D414" t="s">
        <v>4177</v>
      </c>
      <c r="E414" t="s">
        <v>4178</v>
      </c>
      <c r="F414" t="s">
        <v>198</v>
      </c>
      <c r="G414" t="s">
        <v>4179</v>
      </c>
      <c r="H414" t="s">
        <v>38</v>
      </c>
      <c r="I414" t="s">
        <v>4180</v>
      </c>
      <c r="J414" t="s">
        <v>4181</v>
      </c>
      <c r="K414" t="s">
        <v>4182</v>
      </c>
      <c r="L414" t="s">
        <v>38</v>
      </c>
      <c r="M414" t="s">
        <v>737</v>
      </c>
      <c r="N414" t="s">
        <v>19</v>
      </c>
      <c r="O414" t="s">
        <v>4183</v>
      </c>
      <c r="P414" t="s">
        <v>2942</v>
      </c>
      <c r="Q414" t="s">
        <v>38</v>
      </c>
      <c r="R414" t="s">
        <v>38</v>
      </c>
    </row>
    <row r="415" spans="1:18">
      <c r="A415" s="2" t="str">
        <f>HYPERLINK("https://investorlist.com/investor/msw-ventures?ref=Excel_ViewProfile","View Profile")</f>
        <v>View Profile</v>
      </c>
      <c r="B415" t="s">
        <v>4184</v>
      </c>
      <c r="C415" t="s">
        <v>19</v>
      </c>
      <c r="D415" t="s">
        <v>4185</v>
      </c>
      <c r="E415" t="s">
        <v>38</v>
      </c>
      <c r="F415" t="s">
        <v>210</v>
      </c>
      <c r="G415" t="s">
        <v>4186</v>
      </c>
      <c r="H415" t="s">
        <v>38</v>
      </c>
      <c r="I415" t="s">
        <v>4187</v>
      </c>
      <c r="J415" t="s">
        <v>38</v>
      </c>
      <c r="K415" t="s">
        <v>4188</v>
      </c>
      <c r="L415">
        <v>2023</v>
      </c>
      <c r="M415" t="s">
        <v>737</v>
      </c>
      <c r="N415" t="s">
        <v>19</v>
      </c>
      <c r="O415" t="s">
        <v>1152</v>
      </c>
      <c r="P415" t="s">
        <v>2381</v>
      </c>
      <c r="Q415" t="s">
        <v>4189</v>
      </c>
      <c r="R415" t="s">
        <v>4190</v>
      </c>
    </row>
    <row r="416" spans="1:18">
      <c r="A416" s="2" t="str">
        <f>HYPERLINK("https://investorlist.com/investor/strongher-ventures?ref=Excel_ViewProfile","View Profile")</f>
        <v>View Profile</v>
      </c>
      <c r="B416" t="s">
        <v>4191</v>
      </c>
      <c r="C416" t="s">
        <v>19</v>
      </c>
      <c r="D416" t="s">
        <v>424</v>
      </c>
      <c r="E416" t="s">
        <v>312</v>
      </c>
      <c r="F416" t="s">
        <v>198</v>
      </c>
      <c r="G416" t="s">
        <v>4192</v>
      </c>
      <c r="H416" t="s">
        <v>4193</v>
      </c>
      <c r="I416" t="s">
        <v>4194</v>
      </c>
      <c r="J416" t="s">
        <v>38</v>
      </c>
      <c r="K416" t="s">
        <v>4195</v>
      </c>
      <c r="L416">
        <v>2020</v>
      </c>
      <c r="M416" t="s">
        <v>2492</v>
      </c>
      <c r="N416" t="s">
        <v>19</v>
      </c>
      <c r="O416" t="s">
        <v>4196</v>
      </c>
      <c r="P416" t="s">
        <v>2360</v>
      </c>
      <c r="Q416" t="s">
        <v>4197</v>
      </c>
      <c r="R416" t="s">
        <v>4198</v>
      </c>
    </row>
    <row r="417" spans="1:18">
      <c r="A417" s="2" t="str">
        <f>HYPERLINK("https://investorlist.com/investor/1337-ventures?ref=Excel_ViewProfile","View Profile")</f>
        <v>View Profile</v>
      </c>
      <c r="B417" t="s">
        <v>4199</v>
      </c>
      <c r="C417" t="s">
        <v>19</v>
      </c>
      <c r="D417" t="s">
        <v>4200</v>
      </c>
      <c r="E417" t="s">
        <v>4201</v>
      </c>
      <c r="F417" t="s">
        <v>253</v>
      </c>
      <c r="G417" t="s">
        <v>4202</v>
      </c>
      <c r="H417" t="s">
        <v>4203</v>
      </c>
      <c r="I417" t="s">
        <v>4204</v>
      </c>
      <c r="J417" t="s">
        <v>4205</v>
      </c>
      <c r="K417" t="s">
        <v>4206</v>
      </c>
      <c r="L417">
        <v>2012</v>
      </c>
      <c r="M417" t="s">
        <v>2492</v>
      </c>
      <c r="N417" t="s">
        <v>19</v>
      </c>
      <c r="O417" t="s">
        <v>4207</v>
      </c>
      <c r="P417" t="s">
        <v>1552</v>
      </c>
      <c r="Q417" t="s">
        <v>4208</v>
      </c>
      <c r="R417" t="s">
        <v>4209</v>
      </c>
    </row>
    <row r="418" spans="1:18">
      <c r="A418" s="2" t="str">
        <f>HYPERLINK("https://investorlist.com/investor/tmg-ventures?ref=Excel_ViewProfile","View Profile")</f>
        <v>View Profile</v>
      </c>
      <c r="B418" t="s">
        <v>4210</v>
      </c>
      <c r="C418" t="s">
        <v>181</v>
      </c>
      <c r="D418" t="s">
        <v>4211</v>
      </c>
      <c r="E418" t="s">
        <v>4212</v>
      </c>
      <c r="F418" t="s">
        <v>253</v>
      </c>
      <c r="G418" t="s">
        <v>4213</v>
      </c>
      <c r="H418" t="s">
        <v>38</v>
      </c>
      <c r="I418" t="s">
        <v>38</v>
      </c>
      <c r="J418" t="s">
        <v>38</v>
      </c>
      <c r="K418" t="s">
        <v>4214</v>
      </c>
      <c r="L418">
        <v>2019</v>
      </c>
      <c r="M418" t="s">
        <v>1278</v>
      </c>
      <c r="N418" t="s">
        <v>217</v>
      </c>
      <c r="O418" t="s">
        <v>4215</v>
      </c>
      <c r="P418" t="s">
        <v>3816</v>
      </c>
      <c r="Q418" t="s">
        <v>4216</v>
      </c>
      <c r="R418" t="s">
        <v>4217</v>
      </c>
    </row>
    <row r="419" spans="1:18">
      <c r="A419" s="2" t="str">
        <f>HYPERLINK("https://investorlist.com/investor/damson-capital?ref=Excel_ViewProfile","View Profile")</f>
        <v>View Profile</v>
      </c>
      <c r="B419" t="s">
        <v>4218</v>
      </c>
      <c r="C419" t="s">
        <v>19</v>
      </c>
      <c r="D419" t="s">
        <v>4219</v>
      </c>
      <c r="E419" t="s">
        <v>38</v>
      </c>
      <c r="F419" t="s">
        <v>210</v>
      </c>
      <c r="G419" t="s">
        <v>4220</v>
      </c>
      <c r="H419" t="s">
        <v>38</v>
      </c>
      <c r="I419" t="s">
        <v>4221</v>
      </c>
      <c r="J419" t="s">
        <v>4222</v>
      </c>
      <c r="K419" t="s">
        <v>4223</v>
      </c>
      <c r="L419">
        <v>2015</v>
      </c>
      <c r="M419" t="s">
        <v>863</v>
      </c>
      <c r="N419" t="s">
        <v>19</v>
      </c>
      <c r="O419" t="s">
        <v>4224</v>
      </c>
      <c r="P419" t="s">
        <v>1552</v>
      </c>
      <c r="Q419" t="s">
        <v>4225</v>
      </c>
      <c r="R419" t="s">
        <v>4226</v>
      </c>
    </row>
    <row r="420" spans="1:18">
      <c r="A420" s="2" t="str">
        <f>HYPERLINK("https://investorlist.com/investor/yang-ventures?ref=Excel_ViewProfile","View Profile")</f>
        <v>View Profile</v>
      </c>
      <c r="B420" t="s">
        <v>4227</v>
      </c>
      <c r="C420" t="s">
        <v>19</v>
      </c>
      <c r="D420" t="s">
        <v>4228</v>
      </c>
      <c r="E420" t="s">
        <v>312</v>
      </c>
      <c r="F420" t="s">
        <v>198</v>
      </c>
      <c r="G420" t="s">
        <v>4229</v>
      </c>
      <c r="H420" t="s">
        <v>4230</v>
      </c>
      <c r="I420" t="s">
        <v>4231</v>
      </c>
      <c r="J420" t="s">
        <v>38</v>
      </c>
      <c r="K420" t="s">
        <v>4232</v>
      </c>
      <c r="L420">
        <v>2025</v>
      </c>
      <c r="M420" t="s">
        <v>1571</v>
      </c>
      <c r="N420" t="s">
        <v>19</v>
      </c>
      <c r="O420" t="s">
        <v>4233</v>
      </c>
      <c r="P420" t="s">
        <v>4234</v>
      </c>
      <c r="Q420" t="s">
        <v>4235</v>
      </c>
      <c r="R420" t="s">
        <v>4236</v>
      </c>
    </row>
    <row r="421" spans="1:18">
      <c r="A421" s="2" t="str">
        <f>HYPERLINK("https://investorlist.com/investor/everhaus?ref=Excel_ViewProfile","View Profile")</f>
        <v>View Profile</v>
      </c>
      <c r="B421" t="s">
        <v>4237</v>
      </c>
      <c r="C421" t="s">
        <v>19</v>
      </c>
      <c r="D421" t="s">
        <v>4238</v>
      </c>
      <c r="E421" t="s">
        <v>38</v>
      </c>
      <c r="F421" t="s">
        <v>718</v>
      </c>
      <c r="G421" t="s">
        <v>4239</v>
      </c>
      <c r="H421" t="s">
        <v>38</v>
      </c>
      <c r="I421" t="s">
        <v>4240</v>
      </c>
      <c r="J421" t="s">
        <v>4241</v>
      </c>
      <c r="K421" t="s">
        <v>4242</v>
      </c>
      <c r="L421">
        <v>2017</v>
      </c>
      <c r="M421" t="s">
        <v>52</v>
      </c>
      <c r="N421" t="s">
        <v>19</v>
      </c>
      <c r="O421" t="s">
        <v>4243</v>
      </c>
      <c r="P421" t="s">
        <v>1634</v>
      </c>
      <c r="Q421" t="s">
        <v>4244</v>
      </c>
      <c r="R421" t="s">
        <v>4245</v>
      </c>
    </row>
    <row r="422" spans="1:18">
      <c r="A422" s="2" t="str">
        <f>HYPERLINK("https://investorlist.com/investor/venture-d?ref=Excel_ViewProfile","View Profile")</f>
        <v>View Profile</v>
      </c>
      <c r="B422" t="s">
        <v>4246</v>
      </c>
      <c r="C422" t="s">
        <v>19</v>
      </c>
      <c r="D422" t="s">
        <v>4247</v>
      </c>
      <c r="E422" t="s">
        <v>846</v>
      </c>
      <c r="F422" t="s">
        <v>806</v>
      </c>
      <c r="G422" t="s">
        <v>4248</v>
      </c>
      <c r="H422" t="s">
        <v>38</v>
      </c>
      <c r="I422" t="s">
        <v>4249</v>
      </c>
      <c r="J422" t="s">
        <v>4250</v>
      </c>
      <c r="K422" t="s">
        <v>4251</v>
      </c>
      <c r="L422">
        <v>2015</v>
      </c>
      <c r="M422" t="s">
        <v>600</v>
      </c>
      <c r="N422" t="s">
        <v>19</v>
      </c>
      <c r="O422" t="s">
        <v>1152</v>
      </c>
      <c r="P422" t="s">
        <v>812</v>
      </c>
      <c r="Q422" t="s">
        <v>4252</v>
      </c>
      <c r="R422" t="s">
        <v>2044</v>
      </c>
    </row>
    <row r="423" spans="1:18">
      <c r="A423" s="2" t="str">
        <f>HYPERLINK("https://investorlist.com/investor/slayton-capital?ref=Excel_ViewProfile","View Profile")</f>
        <v>View Profile</v>
      </c>
      <c r="B423" t="s">
        <v>4253</v>
      </c>
      <c r="C423" t="s">
        <v>19</v>
      </c>
      <c r="D423" t="s">
        <v>4254</v>
      </c>
      <c r="E423" t="s">
        <v>312</v>
      </c>
      <c r="F423" t="s">
        <v>198</v>
      </c>
      <c r="G423" t="s">
        <v>4255</v>
      </c>
      <c r="H423" t="s">
        <v>38</v>
      </c>
      <c r="I423" t="s">
        <v>4256</v>
      </c>
      <c r="J423" t="s">
        <v>38</v>
      </c>
      <c r="K423" t="s">
        <v>4257</v>
      </c>
      <c r="L423">
        <v>2001</v>
      </c>
      <c r="M423" t="s">
        <v>1571</v>
      </c>
      <c r="N423" t="s">
        <v>19</v>
      </c>
      <c r="O423" t="s">
        <v>177</v>
      </c>
      <c r="P423" t="s">
        <v>1889</v>
      </c>
      <c r="Q423" t="s">
        <v>4258</v>
      </c>
      <c r="R423" t="s">
        <v>4259</v>
      </c>
    </row>
    <row r="424" spans="1:18">
      <c r="A424" s="2" t="str">
        <f>HYPERLINK("https://investorlist.com/investor/twilight-venture-partners?ref=Excel_ViewProfile","View Profile")</f>
        <v>View Profile</v>
      </c>
      <c r="B424" t="s">
        <v>4260</v>
      </c>
      <c r="C424" t="s">
        <v>19</v>
      </c>
      <c r="D424" t="s">
        <v>4261</v>
      </c>
      <c r="E424" t="s">
        <v>4262</v>
      </c>
      <c r="F424" t="s">
        <v>198</v>
      </c>
      <c r="G424" t="s">
        <v>4263</v>
      </c>
      <c r="H424" t="s">
        <v>38</v>
      </c>
      <c r="I424" t="s">
        <v>4264</v>
      </c>
      <c r="J424" t="s">
        <v>4265</v>
      </c>
      <c r="K424" t="s">
        <v>4266</v>
      </c>
      <c r="L424">
        <v>2002</v>
      </c>
      <c r="M424" t="s">
        <v>4267</v>
      </c>
      <c r="N424" t="s">
        <v>19</v>
      </c>
      <c r="O424" t="s">
        <v>4268</v>
      </c>
      <c r="P424" t="s">
        <v>680</v>
      </c>
      <c r="Q424" t="s">
        <v>4269</v>
      </c>
      <c r="R424" t="s">
        <v>4270</v>
      </c>
    </row>
    <row r="425" spans="1:18">
      <c r="A425" s="2" t="str">
        <f>HYPERLINK("https://investorlist.com/investor/insitor-impact-asia-fund?ref=Excel_ViewProfile","View Profile")</f>
        <v>View Profile</v>
      </c>
      <c r="B425" t="s">
        <v>4271</v>
      </c>
      <c r="C425" t="s">
        <v>19</v>
      </c>
      <c r="D425" t="s">
        <v>4272</v>
      </c>
      <c r="E425" t="s">
        <v>606</v>
      </c>
      <c r="F425" t="s">
        <v>210</v>
      </c>
      <c r="G425" t="s">
        <v>1913</v>
      </c>
      <c r="H425" t="s">
        <v>1914</v>
      </c>
      <c r="I425" t="s">
        <v>1915</v>
      </c>
      <c r="J425" t="s">
        <v>4273</v>
      </c>
      <c r="K425" t="s">
        <v>4274</v>
      </c>
      <c r="L425">
        <v>2009</v>
      </c>
      <c r="M425" t="s">
        <v>863</v>
      </c>
      <c r="N425" t="s">
        <v>4275</v>
      </c>
      <c r="O425" t="s">
        <v>4276</v>
      </c>
      <c r="P425" t="s">
        <v>1919</v>
      </c>
      <c r="Q425" t="s">
        <v>4277</v>
      </c>
      <c r="R425" t="s">
        <v>4278</v>
      </c>
    </row>
    <row r="426" spans="1:18">
      <c r="A426" s="2" t="str">
        <f>HYPERLINK("https://investorlist.com/investor/quest-fof?ref=Excel_ViewProfile","View Profile")</f>
        <v>View Profile</v>
      </c>
      <c r="B426" t="s">
        <v>4279</v>
      </c>
      <c r="C426" t="s">
        <v>3685</v>
      </c>
      <c r="D426" t="s">
        <v>4280</v>
      </c>
      <c r="E426" t="s">
        <v>607</v>
      </c>
      <c r="F426" t="s">
        <v>210</v>
      </c>
      <c r="G426" t="s">
        <v>4281</v>
      </c>
      <c r="H426" t="s">
        <v>4282</v>
      </c>
      <c r="I426" t="s">
        <v>4283</v>
      </c>
      <c r="J426" t="s">
        <v>4284</v>
      </c>
      <c r="K426" t="s">
        <v>4285</v>
      </c>
      <c r="L426">
        <v>2011</v>
      </c>
      <c r="M426" t="s">
        <v>4286</v>
      </c>
      <c r="N426" t="s">
        <v>217</v>
      </c>
      <c r="O426" t="s">
        <v>4287</v>
      </c>
      <c r="P426" t="s">
        <v>4288</v>
      </c>
      <c r="Q426" t="s">
        <v>4289</v>
      </c>
      <c r="R426" t="s">
        <v>4290</v>
      </c>
    </row>
    <row r="427" spans="1:18">
      <c r="A427" s="2" t="str">
        <f>HYPERLINK("https://investorlist.com/investor/gic-ventures?ref=Excel_ViewProfile","View Profile")</f>
        <v>View Profile</v>
      </c>
      <c r="B427" t="s">
        <v>4291</v>
      </c>
      <c r="C427" t="s">
        <v>181</v>
      </c>
      <c r="D427" t="s">
        <v>4292</v>
      </c>
      <c r="E427" t="s">
        <v>38</v>
      </c>
      <c r="F427" t="s">
        <v>210</v>
      </c>
      <c r="G427" t="s">
        <v>4293</v>
      </c>
      <c r="H427" t="s">
        <v>38</v>
      </c>
      <c r="I427" t="s">
        <v>38</v>
      </c>
      <c r="J427" t="s">
        <v>38</v>
      </c>
      <c r="K427" t="s">
        <v>4294</v>
      </c>
      <c r="L427">
        <v>1981</v>
      </c>
      <c r="M427" t="s">
        <v>343</v>
      </c>
      <c r="N427" t="s">
        <v>3805</v>
      </c>
      <c r="O427" t="s">
        <v>4295</v>
      </c>
      <c r="P427" t="s">
        <v>4296</v>
      </c>
      <c r="Q427" t="s">
        <v>4297</v>
      </c>
      <c r="R427" t="s">
        <v>4298</v>
      </c>
    </row>
    <row r="428" spans="1:18">
      <c r="A428" s="2" t="str">
        <f>HYPERLINK("https://investorlist.com/investor/antler-indonesia?ref=Excel_ViewProfile","View Profile")</f>
        <v>View Profile</v>
      </c>
      <c r="B428" t="s">
        <v>4299</v>
      </c>
      <c r="C428" t="s">
        <v>19</v>
      </c>
      <c r="D428" t="s">
        <v>4238</v>
      </c>
      <c r="E428" t="s">
        <v>38</v>
      </c>
      <c r="F428" t="s">
        <v>718</v>
      </c>
      <c r="G428" t="s">
        <v>4300</v>
      </c>
      <c r="H428" t="s">
        <v>38</v>
      </c>
      <c r="I428" t="s">
        <v>4301</v>
      </c>
      <c r="J428" t="s">
        <v>38</v>
      </c>
      <c r="K428" t="s">
        <v>4302</v>
      </c>
      <c r="L428">
        <v>2018</v>
      </c>
      <c r="M428" t="s">
        <v>677</v>
      </c>
      <c r="N428" t="s">
        <v>19</v>
      </c>
      <c r="O428" t="s">
        <v>4303</v>
      </c>
      <c r="P428" t="s">
        <v>2421</v>
      </c>
      <c r="Q428" t="s">
        <v>4304</v>
      </c>
      <c r="R428" t="s">
        <v>4305</v>
      </c>
    </row>
    <row r="429" spans="1:18">
      <c r="A429" s="2" t="str">
        <f>HYPERLINK("https://investorlist.com/investor/burkhan-world-investments?ref=Excel_ViewProfile","View Profile")</f>
        <v>View Profile</v>
      </c>
      <c r="B429" t="s">
        <v>4306</v>
      </c>
      <c r="C429" t="s">
        <v>181</v>
      </c>
      <c r="D429" t="s">
        <v>4307</v>
      </c>
      <c r="E429" t="s">
        <v>4178</v>
      </c>
      <c r="F429" t="s">
        <v>198</v>
      </c>
      <c r="G429" t="s">
        <v>4308</v>
      </c>
      <c r="H429" t="s">
        <v>38</v>
      </c>
      <c r="I429" t="s">
        <v>4309</v>
      </c>
      <c r="J429" t="s">
        <v>4310</v>
      </c>
      <c r="K429" t="s">
        <v>4311</v>
      </c>
      <c r="L429">
        <v>0</v>
      </c>
      <c r="M429" t="s">
        <v>537</v>
      </c>
      <c r="N429" t="s">
        <v>4312</v>
      </c>
      <c r="O429" t="s">
        <v>4313</v>
      </c>
      <c r="P429" t="s">
        <v>4314</v>
      </c>
      <c r="Q429" t="s">
        <v>4315</v>
      </c>
      <c r="R429" t="s">
        <v>4316</v>
      </c>
    </row>
    <row r="430" spans="1:18">
      <c r="A430" s="2" t="str">
        <f>HYPERLINK("https://investorlist.com/investor/fmo-nederlandse-financierings-maatschappij-voor-ontwikkelingslanden-n-v?ref=Excel_ViewProfile","View Profile")</f>
        <v>View Profile</v>
      </c>
      <c r="B430" t="s">
        <v>4317</v>
      </c>
      <c r="C430" t="s">
        <v>250</v>
      </c>
      <c r="D430" t="s">
        <v>543</v>
      </c>
      <c r="E430" t="s">
        <v>544</v>
      </c>
      <c r="F430" t="s">
        <v>545</v>
      </c>
      <c r="G430" t="s">
        <v>4318</v>
      </c>
      <c r="H430" t="s">
        <v>4319</v>
      </c>
      <c r="I430" t="s">
        <v>548</v>
      </c>
      <c r="J430" t="s">
        <v>549</v>
      </c>
      <c r="K430" t="s">
        <v>4320</v>
      </c>
      <c r="L430">
        <v>1970</v>
      </c>
      <c r="M430" t="s">
        <v>4321</v>
      </c>
      <c r="N430" t="s">
        <v>3756</v>
      </c>
      <c r="O430" t="s">
        <v>2673</v>
      </c>
      <c r="P430" t="s">
        <v>4322</v>
      </c>
      <c r="Q430" t="s">
        <v>4323</v>
      </c>
      <c r="R430" t="s">
        <v>4324</v>
      </c>
    </row>
    <row r="431" spans="1:18">
      <c r="A431" s="2" t="str">
        <f>HYPERLINK("https://investorlist.com/investor/lanka-orix-leasing-company-plc?ref=Excel_ViewProfile","View Profile")</f>
        <v>View Profile</v>
      </c>
      <c r="B431" t="s">
        <v>4325</v>
      </c>
      <c r="C431" t="s">
        <v>250</v>
      </c>
      <c r="D431" t="s">
        <v>4326</v>
      </c>
      <c r="E431" t="s">
        <v>4327</v>
      </c>
      <c r="F431" t="s">
        <v>4328</v>
      </c>
      <c r="G431" t="s">
        <v>4329</v>
      </c>
      <c r="H431" t="s">
        <v>38</v>
      </c>
      <c r="I431" t="s">
        <v>4330</v>
      </c>
      <c r="J431" t="s">
        <v>4331</v>
      </c>
      <c r="K431" t="s">
        <v>4332</v>
      </c>
      <c r="L431">
        <v>1981</v>
      </c>
      <c r="M431" t="s">
        <v>4321</v>
      </c>
      <c r="N431" t="s">
        <v>380</v>
      </c>
      <c r="O431" t="s">
        <v>4333</v>
      </c>
      <c r="P431" t="s">
        <v>4334</v>
      </c>
      <c r="Q431" t="s">
        <v>4335</v>
      </c>
      <c r="R431" t="s">
        <v>4336</v>
      </c>
    </row>
    <row r="432" spans="1:18">
      <c r="A432" s="2" t="str">
        <f>HYPERLINK("https://investorlist.com/investor/bottleco-private-limited?ref=Excel_ViewProfile","View Profile")</f>
        <v>View Profile</v>
      </c>
      <c r="B432" t="s">
        <v>4337</v>
      </c>
      <c r="C432" t="s">
        <v>181</v>
      </c>
      <c r="D432" t="s">
        <v>4338</v>
      </c>
      <c r="E432" t="s">
        <v>846</v>
      </c>
      <c r="F432" t="s">
        <v>806</v>
      </c>
      <c r="G432" t="s">
        <v>4339</v>
      </c>
      <c r="H432" t="s">
        <v>38</v>
      </c>
      <c r="I432" t="s">
        <v>4340</v>
      </c>
      <c r="J432" t="s">
        <v>4341</v>
      </c>
      <c r="K432" t="s">
        <v>4342</v>
      </c>
      <c r="L432">
        <v>2017</v>
      </c>
      <c r="M432" t="s">
        <v>3012</v>
      </c>
      <c r="N432" t="s">
        <v>4343</v>
      </c>
      <c r="O432" t="s">
        <v>4344</v>
      </c>
      <c r="P432" t="s">
        <v>812</v>
      </c>
      <c r="Q432" t="s">
        <v>4345</v>
      </c>
      <c r="R432" t="s">
        <v>4346</v>
      </c>
    </row>
    <row r="433" spans="1:18">
      <c r="A433" s="2" t="str">
        <f>HYPERLINK("https://investorlist.com/investor/ravi-spherocast-pvt-ltd?ref=Excel_ViewProfile","View Profile")</f>
        <v>View Profile</v>
      </c>
      <c r="B433" t="s">
        <v>4347</v>
      </c>
      <c r="C433" t="s">
        <v>181</v>
      </c>
      <c r="D433" t="s">
        <v>4348</v>
      </c>
      <c r="E433" t="s">
        <v>805</v>
      </c>
      <c r="F433" t="s">
        <v>806</v>
      </c>
      <c r="G433" t="s">
        <v>4349</v>
      </c>
      <c r="H433" t="s">
        <v>38</v>
      </c>
      <c r="I433" t="s">
        <v>4350</v>
      </c>
      <c r="J433" t="s">
        <v>4351</v>
      </c>
      <c r="K433" t="s">
        <v>4352</v>
      </c>
      <c r="L433">
        <v>0</v>
      </c>
      <c r="M433" t="s">
        <v>612</v>
      </c>
      <c r="N433" t="s">
        <v>181</v>
      </c>
      <c r="O433" t="s">
        <v>4353</v>
      </c>
      <c r="P433" t="s">
        <v>812</v>
      </c>
      <c r="Q433" t="s">
        <v>4354</v>
      </c>
      <c r="R433" t="s">
        <v>4355</v>
      </c>
    </row>
    <row r="434" spans="1:18">
      <c r="A434" s="2" t="str">
        <f>HYPERLINK("https://investorlist.com/investor/calcorp-limited?ref=Excel_ViewProfile","View Profile")</f>
        <v>View Profile</v>
      </c>
      <c r="B434" t="s">
        <v>4356</v>
      </c>
      <c r="C434" t="s">
        <v>181</v>
      </c>
      <c r="D434" t="s">
        <v>4357</v>
      </c>
      <c r="E434" t="s">
        <v>846</v>
      </c>
      <c r="F434" t="s">
        <v>806</v>
      </c>
      <c r="G434" t="s">
        <v>4358</v>
      </c>
      <c r="H434" t="s">
        <v>38</v>
      </c>
      <c r="I434" t="s">
        <v>4359</v>
      </c>
      <c r="J434" t="s">
        <v>4360</v>
      </c>
      <c r="K434" t="s">
        <v>4361</v>
      </c>
      <c r="L434">
        <v>1992</v>
      </c>
      <c r="M434" t="s">
        <v>130</v>
      </c>
      <c r="N434" t="s">
        <v>3805</v>
      </c>
      <c r="O434" t="s">
        <v>4362</v>
      </c>
      <c r="P434" t="s">
        <v>812</v>
      </c>
      <c r="Q434" t="s">
        <v>4363</v>
      </c>
      <c r="R434" t="s">
        <v>38</v>
      </c>
    </row>
    <row r="435" spans="1:18">
      <c r="A435" s="2" t="str">
        <f>HYPERLINK("https://investorlist.com/investor/optimus-capital-management-private-limited?ref=Excel_ViewProfile","View Profile")</f>
        <v>View Profile</v>
      </c>
      <c r="B435" t="s">
        <v>4364</v>
      </c>
      <c r="C435" t="s">
        <v>181</v>
      </c>
      <c r="D435" t="s">
        <v>4365</v>
      </c>
      <c r="E435" t="s">
        <v>846</v>
      </c>
      <c r="F435" t="s">
        <v>806</v>
      </c>
      <c r="G435" t="s">
        <v>4366</v>
      </c>
      <c r="H435" t="s">
        <v>38</v>
      </c>
      <c r="I435" t="s">
        <v>4367</v>
      </c>
      <c r="J435" t="s">
        <v>4368</v>
      </c>
      <c r="K435" t="s">
        <v>4369</v>
      </c>
      <c r="L435">
        <v>2004</v>
      </c>
      <c r="M435" t="s">
        <v>155</v>
      </c>
      <c r="N435" t="s">
        <v>217</v>
      </c>
      <c r="O435" t="s">
        <v>4370</v>
      </c>
      <c r="P435" t="s">
        <v>812</v>
      </c>
      <c r="Q435" t="s">
        <v>2953</v>
      </c>
      <c r="R435" t="s">
        <v>4371</v>
      </c>
    </row>
    <row r="436" spans="1:18">
      <c r="A436" s="2" t="str">
        <f>HYPERLINK("https://investorlist.com/investor/mustang-hrsm-pvt-ltd?ref=Excel_ViewProfile","View Profile")</f>
        <v>View Profile</v>
      </c>
      <c r="B436" t="s">
        <v>4372</v>
      </c>
      <c r="C436" t="s">
        <v>181</v>
      </c>
      <c r="D436" t="s">
        <v>4373</v>
      </c>
      <c r="E436" t="s">
        <v>846</v>
      </c>
      <c r="F436" t="s">
        <v>806</v>
      </c>
      <c r="G436" t="s">
        <v>4374</v>
      </c>
      <c r="H436" t="s">
        <v>38</v>
      </c>
      <c r="I436" t="s">
        <v>4375</v>
      </c>
      <c r="J436" t="s">
        <v>4376</v>
      </c>
      <c r="K436" t="s">
        <v>4377</v>
      </c>
      <c r="L436">
        <v>2007</v>
      </c>
      <c r="M436" t="s">
        <v>3168</v>
      </c>
      <c r="N436" t="s">
        <v>217</v>
      </c>
      <c r="O436" t="s">
        <v>4378</v>
      </c>
      <c r="P436" t="s">
        <v>812</v>
      </c>
      <c r="Q436" t="s">
        <v>4379</v>
      </c>
      <c r="R436" t="s">
        <v>4380</v>
      </c>
    </row>
    <row r="437" spans="1:18">
      <c r="A437" s="2" t="str">
        <f>HYPERLINK("https://investorlist.com/investor/al-shoula-group?ref=Excel_ViewProfile","View Profile")</f>
        <v>View Profile</v>
      </c>
      <c r="B437" t="s">
        <v>4381</v>
      </c>
      <c r="C437" t="s">
        <v>136</v>
      </c>
      <c r="D437" t="s">
        <v>4382</v>
      </c>
      <c r="E437" t="s">
        <v>38</v>
      </c>
      <c r="F437" t="s">
        <v>301</v>
      </c>
      <c r="G437" t="s">
        <v>4383</v>
      </c>
      <c r="H437" t="s">
        <v>38</v>
      </c>
      <c r="I437" t="s">
        <v>4384</v>
      </c>
      <c r="J437" t="s">
        <v>4385</v>
      </c>
      <c r="K437" t="s">
        <v>4386</v>
      </c>
      <c r="L437">
        <v>1970</v>
      </c>
      <c r="M437" t="s">
        <v>563</v>
      </c>
      <c r="N437" t="s">
        <v>4387</v>
      </c>
      <c r="O437" t="s">
        <v>4388</v>
      </c>
      <c r="P437" t="s">
        <v>4389</v>
      </c>
      <c r="Q437" t="s">
        <v>4390</v>
      </c>
      <c r="R437" t="s">
        <v>4391</v>
      </c>
    </row>
    <row r="438" spans="1:18">
      <c r="A438" s="2" t="str">
        <f>HYPERLINK("https://investorlist.com/investor/al-rajhi-group-holding-co?ref=Excel_ViewProfile","View Profile")</f>
        <v>View Profile</v>
      </c>
      <c r="B438" t="s">
        <v>4392</v>
      </c>
      <c r="C438" t="s">
        <v>136</v>
      </c>
      <c r="D438" t="s">
        <v>4393</v>
      </c>
      <c r="E438" t="s">
        <v>38</v>
      </c>
      <c r="F438" t="s">
        <v>301</v>
      </c>
      <c r="G438" t="s">
        <v>4394</v>
      </c>
      <c r="H438" t="s">
        <v>4395</v>
      </c>
      <c r="I438" t="s">
        <v>4396</v>
      </c>
      <c r="J438" t="s">
        <v>38</v>
      </c>
      <c r="K438" t="s">
        <v>4397</v>
      </c>
      <c r="L438">
        <v>1936</v>
      </c>
      <c r="M438" t="s">
        <v>563</v>
      </c>
      <c r="N438" t="s">
        <v>4398</v>
      </c>
      <c r="O438" t="s">
        <v>4399</v>
      </c>
      <c r="P438" t="s">
        <v>4400</v>
      </c>
      <c r="Q438" t="s">
        <v>4401</v>
      </c>
      <c r="R438" t="s">
        <v>4402</v>
      </c>
    </row>
    <row r="439" spans="1:18">
      <c r="A439" s="2" t="str">
        <f>HYPERLINK("https://investorlist.com/investor/saudi-aramco?ref=Excel_ViewProfile","View Profile")</f>
        <v>View Profile</v>
      </c>
      <c r="B439" t="s">
        <v>4403</v>
      </c>
      <c r="C439" t="s">
        <v>1021</v>
      </c>
      <c r="D439" t="s">
        <v>4404</v>
      </c>
      <c r="E439" t="s">
        <v>470</v>
      </c>
      <c r="F439" t="s">
        <v>301</v>
      </c>
      <c r="G439" t="s">
        <v>4405</v>
      </c>
      <c r="H439" t="s">
        <v>4406</v>
      </c>
      <c r="I439" t="s">
        <v>4407</v>
      </c>
      <c r="J439" t="s">
        <v>4408</v>
      </c>
      <c r="K439" t="s">
        <v>4409</v>
      </c>
      <c r="L439">
        <v>1933</v>
      </c>
      <c r="M439" t="s">
        <v>130</v>
      </c>
      <c r="N439" t="s">
        <v>4410</v>
      </c>
      <c r="O439" t="s">
        <v>4411</v>
      </c>
      <c r="P439" t="s">
        <v>4412</v>
      </c>
      <c r="Q439" t="s">
        <v>4413</v>
      </c>
      <c r="R439" t="s">
        <v>4414</v>
      </c>
    </row>
    <row r="440" spans="1:18">
      <c r="A440" s="2" t="str">
        <f>HYPERLINK("https://investorlist.com/investor/arif-habib-group?ref=Excel_ViewProfile","View Profile")</f>
        <v>View Profile</v>
      </c>
      <c r="B440" t="s">
        <v>4415</v>
      </c>
      <c r="C440" t="s">
        <v>530</v>
      </c>
      <c r="D440" t="s">
        <v>4416</v>
      </c>
      <c r="E440" t="s">
        <v>846</v>
      </c>
      <c r="F440" t="s">
        <v>806</v>
      </c>
      <c r="G440" t="s">
        <v>4417</v>
      </c>
      <c r="H440" t="s">
        <v>38</v>
      </c>
      <c r="I440" t="s">
        <v>4418</v>
      </c>
      <c r="J440" t="s">
        <v>4419</v>
      </c>
      <c r="K440" t="s">
        <v>4420</v>
      </c>
      <c r="L440" t="s">
        <v>38</v>
      </c>
      <c r="M440" t="s">
        <v>537</v>
      </c>
      <c r="N440" t="s">
        <v>167</v>
      </c>
      <c r="O440" t="s">
        <v>4421</v>
      </c>
      <c r="P440" t="s">
        <v>812</v>
      </c>
      <c r="Q440" t="s">
        <v>38</v>
      </c>
      <c r="R440" t="s">
        <v>38</v>
      </c>
    </row>
    <row r="441" spans="1:18">
      <c r="A441" s="2" t="str">
        <f>HYPERLINK("https://investorlist.com/investor/iqi-global?ref=Excel_ViewProfile","View Profile")</f>
        <v>View Profile</v>
      </c>
      <c r="B441" t="s">
        <v>4422</v>
      </c>
      <c r="C441" t="s">
        <v>136</v>
      </c>
      <c r="D441" t="s">
        <v>4423</v>
      </c>
      <c r="E441" t="s">
        <v>1533</v>
      </c>
      <c r="F441" t="s">
        <v>253</v>
      </c>
      <c r="G441" t="s">
        <v>4424</v>
      </c>
      <c r="H441" t="s">
        <v>4425</v>
      </c>
      <c r="I441" t="s">
        <v>4426</v>
      </c>
      <c r="J441" t="s">
        <v>4427</v>
      </c>
      <c r="K441" t="s">
        <v>4428</v>
      </c>
      <c r="L441">
        <v>2011</v>
      </c>
      <c r="M441" t="s">
        <v>282</v>
      </c>
      <c r="N441" t="s">
        <v>294</v>
      </c>
      <c r="O441" t="s">
        <v>4429</v>
      </c>
      <c r="P441" t="s">
        <v>4430</v>
      </c>
      <c r="Q441" t="s">
        <v>4431</v>
      </c>
      <c r="R441" t="s">
        <v>4432</v>
      </c>
    </row>
    <row r="442" spans="1:18">
      <c r="A442" s="2" t="str">
        <f>HYPERLINK("https://investorlist.com/investor/royal-group?ref=Excel_ViewProfile","View Profile")</f>
        <v>View Profile</v>
      </c>
      <c r="B442" t="s">
        <v>4433</v>
      </c>
      <c r="C442" t="s">
        <v>162</v>
      </c>
      <c r="D442" t="s">
        <v>4434</v>
      </c>
      <c r="E442" t="s">
        <v>38</v>
      </c>
      <c r="F442" t="s">
        <v>22</v>
      </c>
      <c r="G442" t="s">
        <v>4435</v>
      </c>
      <c r="H442" t="s">
        <v>4436</v>
      </c>
      <c r="I442" t="s">
        <v>4437</v>
      </c>
      <c r="J442" t="s">
        <v>4438</v>
      </c>
      <c r="K442" t="s">
        <v>4439</v>
      </c>
      <c r="L442">
        <v>1998</v>
      </c>
      <c r="M442" t="s">
        <v>563</v>
      </c>
      <c r="N442" t="s">
        <v>4440</v>
      </c>
      <c r="O442" t="s">
        <v>4441</v>
      </c>
      <c r="P442" t="s">
        <v>4442</v>
      </c>
      <c r="Q442" t="s">
        <v>4443</v>
      </c>
      <c r="R442" t="s">
        <v>4444</v>
      </c>
    </row>
    <row r="443" spans="1:18">
      <c r="A443" s="2" t="str">
        <f>HYPERLINK("https://investorlist.com/investor/sedco-holding?ref=Excel_ViewProfile","View Profile")</f>
        <v>View Profile</v>
      </c>
      <c r="B443" t="s">
        <v>4445</v>
      </c>
      <c r="C443" t="s">
        <v>136</v>
      </c>
      <c r="D443" t="s">
        <v>4446</v>
      </c>
      <c r="E443" t="s">
        <v>3593</v>
      </c>
      <c r="F443" t="s">
        <v>301</v>
      </c>
      <c r="G443" t="s">
        <v>4447</v>
      </c>
      <c r="H443" t="s">
        <v>4448</v>
      </c>
      <c r="I443" t="s">
        <v>4449</v>
      </c>
      <c r="J443" t="s">
        <v>4450</v>
      </c>
      <c r="K443" t="s">
        <v>4451</v>
      </c>
      <c r="L443">
        <v>1976</v>
      </c>
      <c r="M443" t="s">
        <v>130</v>
      </c>
      <c r="N443" t="s">
        <v>4452</v>
      </c>
      <c r="O443" t="s">
        <v>4453</v>
      </c>
      <c r="P443" t="s">
        <v>4454</v>
      </c>
      <c r="Q443" t="s">
        <v>4455</v>
      </c>
      <c r="R443" t="s">
        <v>4456</v>
      </c>
    </row>
    <row r="444" spans="1:18">
      <c r="A444" s="2" t="str">
        <f>HYPERLINK("https://investorlist.com/investor/damac-group?ref=Excel_ViewProfile","View Profile")</f>
        <v>View Profile</v>
      </c>
      <c r="B444" t="s">
        <v>4457</v>
      </c>
      <c r="C444" t="s">
        <v>162</v>
      </c>
      <c r="D444" t="s">
        <v>4458</v>
      </c>
      <c r="E444" t="s">
        <v>71</v>
      </c>
      <c r="F444" t="s">
        <v>22</v>
      </c>
      <c r="G444" t="s">
        <v>4459</v>
      </c>
      <c r="H444" t="s">
        <v>4460</v>
      </c>
      <c r="I444" t="s">
        <v>4461</v>
      </c>
      <c r="J444" t="s">
        <v>4462</v>
      </c>
      <c r="K444" t="s">
        <v>4463</v>
      </c>
      <c r="L444" t="s">
        <v>38</v>
      </c>
      <c r="M444" t="s">
        <v>282</v>
      </c>
      <c r="N444" t="s">
        <v>4464</v>
      </c>
      <c r="O444" t="s">
        <v>4465</v>
      </c>
      <c r="P444" t="s">
        <v>4466</v>
      </c>
      <c r="Q444" t="s">
        <v>38</v>
      </c>
      <c r="R444" t="s">
        <v>38</v>
      </c>
    </row>
    <row r="445" spans="1:18">
      <c r="A445" s="2" t="str">
        <f>HYPERLINK("https://investorlist.com/investor/shanghai-industrial-holdings-limited?ref=Excel_ViewProfile","View Profile")</f>
        <v>View Profile</v>
      </c>
      <c r="B445" t="s">
        <v>4467</v>
      </c>
      <c r="C445" t="s">
        <v>250</v>
      </c>
      <c r="D445" t="s">
        <v>4468</v>
      </c>
      <c r="E445" t="s">
        <v>38</v>
      </c>
      <c r="F445" t="s">
        <v>585</v>
      </c>
      <c r="G445" t="s">
        <v>4469</v>
      </c>
      <c r="H445" t="s">
        <v>38</v>
      </c>
      <c r="I445" t="s">
        <v>4470</v>
      </c>
      <c r="J445" t="s">
        <v>4471</v>
      </c>
      <c r="K445" t="s">
        <v>4472</v>
      </c>
      <c r="L445">
        <v>1995</v>
      </c>
      <c r="M445" t="s">
        <v>202</v>
      </c>
      <c r="N445" t="s">
        <v>4473</v>
      </c>
      <c r="O445" t="s">
        <v>4474</v>
      </c>
      <c r="P445" t="s">
        <v>4475</v>
      </c>
      <c r="Q445" t="s">
        <v>4476</v>
      </c>
      <c r="R445" t="s">
        <v>4477</v>
      </c>
    </row>
    <row r="446" spans="1:18">
      <c r="A446" s="2" t="str">
        <f>HYPERLINK("https://investorlist.com/investor/techstars-hub71-accelerator?ref=Excel_ViewProfile","View Profile")</f>
        <v>View Profile</v>
      </c>
      <c r="B446" t="s">
        <v>4478</v>
      </c>
      <c r="C446" t="s">
        <v>19</v>
      </c>
      <c r="D446" t="s">
        <v>4479</v>
      </c>
      <c r="E446" t="s">
        <v>21</v>
      </c>
      <c r="F446" t="s">
        <v>22</v>
      </c>
      <c r="G446" t="s">
        <v>4480</v>
      </c>
      <c r="H446" t="s">
        <v>38</v>
      </c>
      <c r="I446" t="s">
        <v>1662</v>
      </c>
      <c r="J446" t="s">
        <v>1663</v>
      </c>
      <c r="K446" t="s">
        <v>4481</v>
      </c>
      <c r="L446">
        <v>2019</v>
      </c>
      <c r="M446" t="s">
        <v>440</v>
      </c>
      <c r="N446" t="s">
        <v>19</v>
      </c>
      <c r="O446" t="s">
        <v>4482</v>
      </c>
      <c r="P446" t="s">
        <v>4483</v>
      </c>
      <c r="Q446" t="s">
        <v>4484</v>
      </c>
      <c r="R446" t="s">
        <v>4485</v>
      </c>
    </row>
    <row r="447" spans="1:18">
      <c r="A447" s="2" t="str">
        <f>HYPERLINK("https://investorlist.com/investor/wf-asian-smaller-companies-fund?ref=Excel_ViewProfile","View Profile")</f>
        <v>View Profile</v>
      </c>
      <c r="B447" t="s">
        <v>4486</v>
      </c>
      <c r="C447" t="s">
        <v>181</v>
      </c>
      <c r="D447" t="s">
        <v>4487</v>
      </c>
      <c r="E447" t="s">
        <v>2758</v>
      </c>
      <c r="F447" t="s">
        <v>585</v>
      </c>
      <c r="G447" t="s">
        <v>38</v>
      </c>
      <c r="H447" t="s">
        <v>38</v>
      </c>
      <c r="I447" t="s">
        <v>38</v>
      </c>
      <c r="J447" t="s">
        <v>38</v>
      </c>
      <c r="K447" t="s">
        <v>4488</v>
      </c>
      <c r="L447">
        <v>2002</v>
      </c>
      <c r="M447" t="s">
        <v>3982</v>
      </c>
      <c r="N447" t="s">
        <v>217</v>
      </c>
      <c r="O447" t="s">
        <v>4489</v>
      </c>
      <c r="P447" t="s">
        <v>2221</v>
      </c>
      <c r="Q447" t="s">
        <v>4490</v>
      </c>
      <c r="R447" t="s">
        <v>4491</v>
      </c>
    </row>
    <row r="448" spans="1:18">
      <c r="A448" s="2" t="str">
        <f>HYPERLINK("https://investorlist.com/investor/asia-healthcare-holdings?ref=Excel_ViewProfile","View Profile")</f>
        <v>View Profile</v>
      </c>
      <c r="B448" t="s">
        <v>4492</v>
      </c>
      <c r="C448" t="s">
        <v>181</v>
      </c>
      <c r="D448" t="s">
        <v>4493</v>
      </c>
      <c r="E448" t="s">
        <v>2020</v>
      </c>
      <c r="F448" t="s">
        <v>572</v>
      </c>
      <c r="G448" t="s">
        <v>4494</v>
      </c>
      <c r="H448" t="s">
        <v>38</v>
      </c>
      <c r="I448" t="s">
        <v>4495</v>
      </c>
      <c r="J448" t="s">
        <v>38</v>
      </c>
      <c r="K448" t="s">
        <v>4496</v>
      </c>
      <c r="L448">
        <v>2016</v>
      </c>
      <c r="M448" t="s">
        <v>2188</v>
      </c>
      <c r="N448" t="s">
        <v>217</v>
      </c>
      <c r="O448" t="s">
        <v>4497</v>
      </c>
      <c r="P448" t="s">
        <v>1552</v>
      </c>
      <c r="Q448" t="s">
        <v>4498</v>
      </c>
      <c r="R448" t="s">
        <v>4499</v>
      </c>
    </row>
    <row r="449" spans="1:18">
      <c r="A449" s="2" t="str">
        <f>HYPERLINK("https://investorlist.com/investor/hub71-x-techstars?ref=Excel_ViewProfile","View Profile")</f>
        <v>View Profile</v>
      </c>
      <c r="B449" t="s">
        <v>4500</v>
      </c>
      <c r="C449" t="s">
        <v>19</v>
      </c>
      <c r="D449" t="s">
        <v>4501</v>
      </c>
      <c r="E449" t="s">
        <v>21</v>
      </c>
      <c r="F449" t="s">
        <v>22</v>
      </c>
      <c r="G449" t="s">
        <v>1660</v>
      </c>
      <c r="H449" t="s">
        <v>4502</v>
      </c>
      <c r="I449" t="s">
        <v>1662</v>
      </c>
      <c r="J449" t="s">
        <v>38</v>
      </c>
      <c r="K449" t="s">
        <v>4503</v>
      </c>
      <c r="L449">
        <v>2019</v>
      </c>
      <c r="M449" t="s">
        <v>64</v>
      </c>
      <c r="N449" t="s">
        <v>19</v>
      </c>
      <c r="O449" t="s">
        <v>4504</v>
      </c>
      <c r="P449" t="s">
        <v>4505</v>
      </c>
      <c r="Q449" t="s">
        <v>4506</v>
      </c>
      <c r="R449" t="s">
        <v>4507</v>
      </c>
    </row>
    <row r="450" spans="1:18">
      <c r="A450" s="2" t="str">
        <f>HYPERLINK("https://investorlist.com/investor/jambo-ventures?ref=Excel_ViewProfile","View Profile")</f>
        <v>View Profile</v>
      </c>
      <c r="B450" t="s">
        <v>4508</v>
      </c>
      <c r="C450" t="s">
        <v>19</v>
      </c>
      <c r="D450" t="s">
        <v>4509</v>
      </c>
      <c r="E450" t="s">
        <v>606</v>
      </c>
      <c r="F450" t="s">
        <v>210</v>
      </c>
      <c r="G450" t="s">
        <v>4510</v>
      </c>
      <c r="H450" t="s">
        <v>38</v>
      </c>
      <c r="I450" t="s">
        <v>4511</v>
      </c>
      <c r="J450" t="s">
        <v>38</v>
      </c>
      <c r="K450" t="s">
        <v>4512</v>
      </c>
      <c r="L450">
        <v>2023</v>
      </c>
      <c r="M450" t="s">
        <v>677</v>
      </c>
      <c r="N450" t="s">
        <v>487</v>
      </c>
      <c r="O450" t="s">
        <v>4513</v>
      </c>
      <c r="P450" t="s">
        <v>4514</v>
      </c>
      <c r="Q450" t="s">
        <v>4515</v>
      </c>
      <c r="R450" t="s">
        <v>38</v>
      </c>
    </row>
    <row r="451" spans="1:18">
      <c r="A451" s="2" t="str">
        <f>HYPERLINK("https://investorlist.com/investor/life-sreda?ref=Excel_ViewProfile","View Profile")</f>
        <v>View Profile</v>
      </c>
      <c r="B451" t="s">
        <v>4516</v>
      </c>
      <c r="C451" t="s">
        <v>19</v>
      </c>
      <c r="D451" t="s">
        <v>4517</v>
      </c>
      <c r="E451" t="s">
        <v>38</v>
      </c>
      <c r="F451" t="s">
        <v>210</v>
      </c>
      <c r="G451" t="s">
        <v>4518</v>
      </c>
      <c r="H451" t="s">
        <v>38</v>
      </c>
      <c r="I451" t="s">
        <v>4519</v>
      </c>
      <c r="J451" t="s">
        <v>4520</v>
      </c>
      <c r="K451" t="s">
        <v>4521</v>
      </c>
      <c r="L451">
        <v>2012</v>
      </c>
      <c r="M451" t="s">
        <v>600</v>
      </c>
      <c r="N451" t="s">
        <v>19</v>
      </c>
      <c r="O451" t="s">
        <v>4522</v>
      </c>
      <c r="P451" t="s">
        <v>4523</v>
      </c>
      <c r="Q451" t="s">
        <v>4524</v>
      </c>
      <c r="R451" t="s">
        <v>4525</v>
      </c>
    </row>
    <row r="452" spans="1:18">
      <c r="A452" s="2" t="str">
        <f>HYPERLINK("https://investorlist.com/investor/millennium-food-tech-vc?ref=Excel_ViewProfile","View Profile")</f>
        <v>View Profile</v>
      </c>
      <c r="B452" t="s">
        <v>4526</v>
      </c>
      <c r="C452" t="s">
        <v>19</v>
      </c>
      <c r="D452" t="s">
        <v>4527</v>
      </c>
      <c r="E452" t="s">
        <v>38</v>
      </c>
      <c r="F452" t="s">
        <v>4528</v>
      </c>
      <c r="G452" t="s">
        <v>4529</v>
      </c>
      <c r="H452" t="s">
        <v>38</v>
      </c>
      <c r="I452" t="s">
        <v>4530</v>
      </c>
      <c r="J452" t="s">
        <v>4531</v>
      </c>
      <c r="K452" t="s">
        <v>4532</v>
      </c>
      <c r="L452">
        <v>0</v>
      </c>
      <c r="M452" t="s">
        <v>737</v>
      </c>
      <c r="N452" t="s">
        <v>19</v>
      </c>
      <c r="O452" t="s">
        <v>4533</v>
      </c>
      <c r="P452" t="s">
        <v>4534</v>
      </c>
      <c r="Q452" t="s">
        <v>4535</v>
      </c>
      <c r="R452" t="s">
        <v>4536</v>
      </c>
    </row>
    <row r="453" spans="1:18">
      <c r="A453" s="2" t="str">
        <f>HYPERLINK("https://investorlist.com/investor/motwani-jadeja-family-foundation?ref=Excel_ViewProfile","View Profile")</f>
        <v>View Profile</v>
      </c>
      <c r="B453" t="s">
        <v>4537</v>
      </c>
      <c r="C453" t="s">
        <v>35</v>
      </c>
      <c r="D453" t="s">
        <v>4538</v>
      </c>
      <c r="E453" t="s">
        <v>312</v>
      </c>
      <c r="F453" t="s">
        <v>198</v>
      </c>
      <c r="G453" t="s">
        <v>4539</v>
      </c>
      <c r="H453" t="s">
        <v>4540</v>
      </c>
      <c r="I453" t="s">
        <v>4541</v>
      </c>
      <c r="J453" t="s">
        <v>38</v>
      </c>
      <c r="K453" t="s">
        <v>4542</v>
      </c>
      <c r="L453">
        <v>2012</v>
      </c>
      <c r="M453" t="s">
        <v>737</v>
      </c>
      <c r="N453" t="s">
        <v>131</v>
      </c>
      <c r="O453" t="s">
        <v>4543</v>
      </c>
      <c r="P453" t="s">
        <v>4544</v>
      </c>
      <c r="Q453" t="s">
        <v>4545</v>
      </c>
      <c r="R453" t="s">
        <v>4546</v>
      </c>
    </row>
    <row r="454" spans="1:18">
      <c r="A454" s="2" t="str">
        <f>HYPERLINK("https://investorlist.com/investor/sequoia-surge?ref=Excel_ViewProfile","View Profile")</f>
        <v>View Profile</v>
      </c>
      <c r="B454" t="s">
        <v>4547</v>
      </c>
      <c r="C454" t="s">
        <v>19</v>
      </c>
      <c r="D454" t="s">
        <v>606</v>
      </c>
      <c r="E454" t="s">
        <v>38</v>
      </c>
      <c r="F454" t="s">
        <v>210</v>
      </c>
      <c r="G454" t="s">
        <v>4548</v>
      </c>
      <c r="H454" t="s">
        <v>4549</v>
      </c>
      <c r="I454" t="s">
        <v>4550</v>
      </c>
      <c r="J454" t="s">
        <v>38</v>
      </c>
      <c r="K454" t="s">
        <v>4551</v>
      </c>
      <c r="L454" t="s">
        <v>38</v>
      </c>
      <c r="M454" t="s">
        <v>863</v>
      </c>
      <c r="N454" t="s">
        <v>19</v>
      </c>
      <c r="O454" t="s">
        <v>4552</v>
      </c>
      <c r="P454" t="s">
        <v>1552</v>
      </c>
      <c r="Q454" t="s">
        <v>38</v>
      </c>
      <c r="R454" t="s">
        <v>38</v>
      </c>
    </row>
    <row r="455" spans="1:18">
      <c r="A455" s="2" t="str">
        <f>HYPERLINK("https://investorlist.com/investor/adar-poonawalla?ref=Excel_ViewProfile","View Profile")</f>
        <v>View Profile</v>
      </c>
      <c r="B455" t="s">
        <v>4553</v>
      </c>
      <c r="C455" t="s">
        <v>1487</v>
      </c>
      <c r="D455" t="s">
        <v>4554</v>
      </c>
      <c r="E455" t="s">
        <v>1329</v>
      </c>
      <c r="F455" t="s">
        <v>572</v>
      </c>
      <c r="G455" t="s">
        <v>4555</v>
      </c>
      <c r="H455" t="s">
        <v>38</v>
      </c>
      <c r="I455" t="s">
        <v>4556</v>
      </c>
      <c r="J455" t="s">
        <v>4557</v>
      </c>
      <c r="K455" t="s">
        <v>4558</v>
      </c>
      <c r="L455">
        <v>1966</v>
      </c>
      <c r="M455" t="s">
        <v>282</v>
      </c>
      <c r="N455" t="s">
        <v>4559</v>
      </c>
      <c r="O455" t="s">
        <v>4560</v>
      </c>
      <c r="P455" t="s">
        <v>4561</v>
      </c>
      <c r="Q455" t="s">
        <v>4562</v>
      </c>
      <c r="R455" t="s">
        <v>4563</v>
      </c>
    </row>
    <row r="456" spans="1:18">
      <c r="A456" s="2" t="str">
        <f>HYPERLINK("https://investorlist.com/investor/anarock-group?ref=Excel_ViewProfile","View Profile")</f>
        <v>View Profile</v>
      </c>
      <c r="B456" t="s">
        <v>4564</v>
      </c>
      <c r="C456" t="s">
        <v>136</v>
      </c>
      <c r="D456" t="s">
        <v>4565</v>
      </c>
      <c r="E456" t="s">
        <v>1329</v>
      </c>
      <c r="F456" t="s">
        <v>572</v>
      </c>
      <c r="G456" t="s">
        <v>4566</v>
      </c>
      <c r="H456" t="s">
        <v>38</v>
      </c>
      <c r="I456" t="s">
        <v>4567</v>
      </c>
      <c r="J456" t="s">
        <v>4568</v>
      </c>
      <c r="K456" t="s">
        <v>4569</v>
      </c>
      <c r="L456">
        <v>2017</v>
      </c>
      <c r="M456" t="s">
        <v>130</v>
      </c>
      <c r="N456" t="s">
        <v>294</v>
      </c>
      <c r="O456" t="s">
        <v>4570</v>
      </c>
      <c r="P456" t="s">
        <v>4571</v>
      </c>
      <c r="Q456" t="s">
        <v>4572</v>
      </c>
      <c r="R456" t="s">
        <v>4573</v>
      </c>
    </row>
    <row r="457" spans="1:18">
      <c r="A457" s="2" t="str">
        <f>HYPERLINK("https://investorlist.com/investor/murugappa-group?ref=Excel_ViewProfile","View Profile")</f>
        <v>View Profile</v>
      </c>
      <c r="B457" t="s">
        <v>4574</v>
      </c>
      <c r="C457" t="s">
        <v>530</v>
      </c>
      <c r="D457" t="s">
        <v>4575</v>
      </c>
      <c r="E457" t="s">
        <v>4576</v>
      </c>
      <c r="F457" t="s">
        <v>572</v>
      </c>
      <c r="G457" t="s">
        <v>4577</v>
      </c>
      <c r="H457" t="s">
        <v>4578</v>
      </c>
      <c r="I457" t="s">
        <v>4579</v>
      </c>
      <c r="J457" t="s">
        <v>4580</v>
      </c>
      <c r="K457" t="s">
        <v>4581</v>
      </c>
      <c r="L457">
        <v>1900</v>
      </c>
      <c r="M457" t="s">
        <v>28</v>
      </c>
      <c r="N457" t="s">
        <v>4582</v>
      </c>
      <c r="O457" t="s">
        <v>4583</v>
      </c>
      <c r="P457" t="s">
        <v>4584</v>
      </c>
      <c r="Q457" t="s">
        <v>4585</v>
      </c>
      <c r="R457" t="s">
        <v>4586</v>
      </c>
    </row>
    <row r="458" spans="1:18">
      <c r="A458" s="2" t="str">
        <f>HYPERLINK("https://investorlist.com/investor/hindustan-unilever-limited?ref=Excel_ViewProfile","View Profile")</f>
        <v>View Profile</v>
      </c>
      <c r="B458" t="s">
        <v>4587</v>
      </c>
      <c r="C458" t="s">
        <v>250</v>
      </c>
      <c r="D458" t="s">
        <v>4588</v>
      </c>
      <c r="E458" t="s">
        <v>1329</v>
      </c>
      <c r="F458" t="s">
        <v>572</v>
      </c>
      <c r="G458" t="s">
        <v>4589</v>
      </c>
      <c r="H458" t="s">
        <v>38</v>
      </c>
      <c r="I458" t="s">
        <v>4590</v>
      </c>
      <c r="J458" t="s">
        <v>4591</v>
      </c>
      <c r="K458" t="s">
        <v>4592</v>
      </c>
      <c r="L458">
        <v>1931</v>
      </c>
      <c r="M458" t="s">
        <v>130</v>
      </c>
      <c r="N458" t="s">
        <v>4593</v>
      </c>
      <c r="O458" t="s">
        <v>4594</v>
      </c>
      <c r="P458" t="s">
        <v>4595</v>
      </c>
      <c r="Q458" t="s">
        <v>4596</v>
      </c>
      <c r="R458" t="s">
        <v>4597</v>
      </c>
    </row>
    <row r="459" spans="1:18">
      <c r="A459" s="2" t="str">
        <f>HYPERLINK("https://investorlist.com/investor/shailendra-singh?ref=Excel_ViewProfile","View Profile")</f>
        <v>View Profile</v>
      </c>
      <c r="B459" t="s">
        <v>4598</v>
      </c>
      <c r="C459" t="s">
        <v>19</v>
      </c>
      <c r="D459" t="s">
        <v>606</v>
      </c>
      <c r="E459" t="s">
        <v>38</v>
      </c>
      <c r="F459" t="s">
        <v>210</v>
      </c>
      <c r="G459" t="s">
        <v>4599</v>
      </c>
      <c r="H459" t="s">
        <v>4600</v>
      </c>
      <c r="I459" t="s">
        <v>4601</v>
      </c>
      <c r="J459" t="s">
        <v>38</v>
      </c>
      <c r="K459" t="s">
        <v>4602</v>
      </c>
      <c r="L459">
        <v>2006</v>
      </c>
      <c r="M459" t="s">
        <v>737</v>
      </c>
      <c r="N459" t="s">
        <v>19</v>
      </c>
      <c r="O459" t="s">
        <v>4603</v>
      </c>
      <c r="P459" t="s">
        <v>1552</v>
      </c>
      <c r="Q459" t="s">
        <v>4604</v>
      </c>
      <c r="R459" t="s">
        <v>4605</v>
      </c>
    </row>
    <row r="460" spans="1:18">
      <c r="A460" s="2" t="str">
        <f>HYPERLINK("https://investorlist.com/investor/nisaba-godrej?ref=Excel_ViewProfile","View Profile")</f>
        <v>View Profile</v>
      </c>
      <c r="B460" t="s">
        <v>4606</v>
      </c>
      <c r="C460" t="s">
        <v>1487</v>
      </c>
      <c r="D460" t="s">
        <v>4607</v>
      </c>
      <c r="E460" t="s">
        <v>1329</v>
      </c>
      <c r="F460" t="s">
        <v>572</v>
      </c>
      <c r="G460" t="s">
        <v>4608</v>
      </c>
      <c r="H460" t="s">
        <v>38</v>
      </c>
      <c r="I460" t="s">
        <v>4609</v>
      </c>
      <c r="J460" t="s">
        <v>4610</v>
      </c>
      <c r="K460" t="s">
        <v>4611</v>
      </c>
      <c r="L460">
        <v>2001</v>
      </c>
      <c r="M460" t="s">
        <v>130</v>
      </c>
      <c r="N460" t="s">
        <v>4612</v>
      </c>
      <c r="O460" t="s">
        <v>4613</v>
      </c>
      <c r="P460" t="s">
        <v>4614</v>
      </c>
      <c r="Q460" t="s">
        <v>4612</v>
      </c>
      <c r="R460" t="s">
        <v>4615</v>
      </c>
    </row>
    <row r="461" spans="1:18">
      <c r="A461" s="2" t="str">
        <f>HYPERLINK("https://investorlist.com/investor/advans-sa-sicar?ref=Excel_ViewProfile","View Profile")</f>
        <v>View Profile</v>
      </c>
      <c r="B461" t="s">
        <v>4616</v>
      </c>
      <c r="C461" t="s">
        <v>19</v>
      </c>
      <c r="D461" t="s">
        <v>4617</v>
      </c>
      <c r="E461" t="s">
        <v>38</v>
      </c>
      <c r="F461" t="s">
        <v>3347</v>
      </c>
      <c r="G461" t="s">
        <v>4618</v>
      </c>
      <c r="H461" t="s">
        <v>38</v>
      </c>
      <c r="I461" t="s">
        <v>4619</v>
      </c>
      <c r="J461" t="s">
        <v>4620</v>
      </c>
      <c r="K461" t="s">
        <v>4621</v>
      </c>
      <c r="L461">
        <v>2005</v>
      </c>
      <c r="M461" t="s">
        <v>737</v>
      </c>
      <c r="N461" t="s">
        <v>217</v>
      </c>
      <c r="O461" t="s">
        <v>4622</v>
      </c>
      <c r="P461" t="s">
        <v>4623</v>
      </c>
      <c r="Q461" t="s">
        <v>4624</v>
      </c>
      <c r="R461" t="s">
        <v>4625</v>
      </c>
    </row>
    <row r="462" spans="1:18">
      <c r="A462" s="2" t="str">
        <f>HYPERLINK("https://investorlist.com/investor/damien-zhang?ref=Excel_ViewProfile","View Profile")</f>
        <v>View Profile</v>
      </c>
      <c r="B462" t="s">
        <v>4626</v>
      </c>
      <c r="C462" t="s">
        <v>181</v>
      </c>
      <c r="D462" t="s">
        <v>4627</v>
      </c>
      <c r="E462" t="s">
        <v>1102</v>
      </c>
      <c r="F462" t="s">
        <v>225</v>
      </c>
      <c r="G462" t="s">
        <v>4628</v>
      </c>
      <c r="H462" t="s">
        <v>2701</v>
      </c>
      <c r="I462" t="s">
        <v>2702</v>
      </c>
      <c r="J462" t="s">
        <v>4629</v>
      </c>
      <c r="K462" t="s">
        <v>4630</v>
      </c>
      <c r="L462">
        <v>2002</v>
      </c>
      <c r="M462" t="s">
        <v>2705</v>
      </c>
      <c r="N462" t="s">
        <v>4631</v>
      </c>
      <c r="O462" t="s">
        <v>4093</v>
      </c>
      <c r="P462" t="s">
        <v>2708</v>
      </c>
      <c r="Q462" t="s">
        <v>4632</v>
      </c>
      <c r="R462" t="s">
        <v>4633</v>
      </c>
    </row>
    <row r="463" spans="1:18">
      <c r="A463" s="2" t="str">
        <f>HYPERLINK("https://investorlist.com/investor/douglas-abrams?ref=Excel_ViewProfile","View Profile")</f>
        <v>View Profile</v>
      </c>
      <c r="B463" t="s">
        <v>4634</v>
      </c>
      <c r="C463" t="s">
        <v>19</v>
      </c>
      <c r="D463" t="s">
        <v>38</v>
      </c>
      <c r="E463" t="s">
        <v>38</v>
      </c>
      <c r="F463" t="s">
        <v>210</v>
      </c>
      <c r="G463" t="s">
        <v>4635</v>
      </c>
      <c r="H463" t="s">
        <v>4636</v>
      </c>
      <c r="I463" t="s">
        <v>4637</v>
      </c>
      <c r="J463" t="s">
        <v>4638</v>
      </c>
      <c r="K463" t="s">
        <v>4639</v>
      </c>
      <c r="L463">
        <v>2007</v>
      </c>
      <c r="M463" t="s">
        <v>229</v>
      </c>
      <c r="N463" t="s">
        <v>19</v>
      </c>
      <c r="O463" t="s">
        <v>1152</v>
      </c>
      <c r="P463" t="s">
        <v>4640</v>
      </c>
      <c r="Q463" t="s">
        <v>4641</v>
      </c>
      <c r="R463" t="s">
        <v>4642</v>
      </c>
    </row>
    <row r="464" spans="1:18">
      <c r="A464" s="2" t="str">
        <f>HYPERLINK("https://investorlist.com/investor/vinit-sukhija?ref=Excel_ViewProfile","View Profile")</f>
        <v>View Profile</v>
      </c>
      <c r="B464" t="s">
        <v>4643</v>
      </c>
      <c r="C464" t="s">
        <v>19</v>
      </c>
      <c r="D464" t="s">
        <v>4644</v>
      </c>
      <c r="E464" t="s">
        <v>312</v>
      </c>
      <c r="F464" t="s">
        <v>198</v>
      </c>
      <c r="G464" t="s">
        <v>4645</v>
      </c>
      <c r="H464" t="s">
        <v>38</v>
      </c>
      <c r="I464" t="s">
        <v>4646</v>
      </c>
      <c r="J464" t="s">
        <v>38</v>
      </c>
      <c r="K464" t="s">
        <v>4647</v>
      </c>
      <c r="L464">
        <v>2009</v>
      </c>
      <c r="M464" t="s">
        <v>737</v>
      </c>
      <c r="N464" t="s">
        <v>19</v>
      </c>
      <c r="O464" t="s">
        <v>4648</v>
      </c>
      <c r="P464" t="s">
        <v>4649</v>
      </c>
      <c r="Q464" t="s">
        <v>4650</v>
      </c>
      <c r="R464" t="s">
        <v>4651</v>
      </c>
    </row>
    <row r="465" spans="1:18">
      <c r="A465" s="2" t="str">
        <f>HYPERLINK("https://investorlist.com/investor/yuto-kono?ref=Excel_ViewProfile","View Profile")</f>
        <v>View Profile</v>
      </c>
      <c r="B465" t="s">
        <v>4652</v>
      </c>
      <c r="C465" t="s">
        <v>19</v>
      </c>
      <c r="D465" t="s">
        <v>4653</v>
      </c>
      <c r="E465" t="s">
        <v>783</v>
      </c>
      <c r="F465" t="s">
        <v>784</v>
      </c>
      <c r="G465" t="s">
        <v>4654</v>
      </c>
      <c r="H465" t="s">
        <v>38</v>
      </c>
      <c r="I465" t="s">
        <v>4655</v>
      </c>
      <c r="J465" t="s">
        <v>38</v>
      </c>
      <c r="K465" t="s">
        <v>4656</v>
      </c>
      <c r="L465">
        <v>2017</v>
      </c>
      <c r="M465" t="s">
        <v>737</v>
      </c>
      <c r="N465" t="s">
        <v>119</v>
      </c>
      <c r="O465" t="s">
        <v>4657</v>
      </c>
      <c r="P465" t="s">
        <v>4658</v>
      </c>
      <c r="Q465" t="s">
        <v>2825</v>
      </c>
      <c r="R465" t="s">
        <v>4659</v>
      </c>
    </row>
    <row r="466" spans="1:18">
      <c r="A466" s="2" t="str">
        <f>HYPERLINK("https://investorlist.com/investor/sonic-capital?ref=Excel_ViewProfile","View Profile")</f>
        <v>View Profile</v>
      </c>
      <c r="B466" t="s">
        <v>4660</v>
      </c>
      <c r="C466" t="s">
        <v>19</v>
      </c>
      <c r="D466" t="s">
        <v>38</v>
      </c>
      <c r="E466" t="s">
        <v>38</v>
      </c>
      <c r="F466" t="s">
        <v>585</v>
      </c>
      <c r="G466" t="s">
        <v>4661</v>
      </c>
      <c r="H466" t="s">
        <v>38</v>
      </c>
      <c r="I466" t="s">
        <v>4662</v>
      </c>
      <c r="J466" t="s">
        <v>38</v>
      </c>
      <c r="K466" t="s">
        <v>4663</v>
      </c>
      <c r="L466">
        <v>2020</v>
      </c>
      <c r="M466" t="s">
        <v>4664</v>
      </c>
      <c r="N466" t="s">
        <v>487</v>
      </c>
      <c r="O466" t="s">
        <v>4665</v>
      </c>
      <c r="P466" t="s">
        <v>712</v>
      </c>
      <c r="Q466" t="s">
        <v>4666</v>
      </c>
      <c r="R466" t="s">
        <v>4667</v>
      </c>
    </row>
    <row r="467" spans="1:18">
      <c r="A467" s="2" t="str">
        <f>HYPERLINK("https://investorlist.com/investor/hidden-hill-capital-16613673?ref=Excel_ViewProfile","View Profile")</f>
        <v>View Profile</v>
      </c>
      <c r="B467" t="s">
        <v>3978</v>
      </c>
      <c r="C467" t="s">
        <v>181</v>
      </c>
      <c r="D467" t="s">
        <v>3979</v>
      </c>
      <c r="E467" t="s">
        <v>38</v>
      </c>
      <c r="F467" t="s">
        <v>225</v>
      </c>
      <c r="G467" t="s">
        <v>3980</v>
      </c>
      <c r="H467" t="s">
        <v>38</v>
      </c>
      <c r="I467" t="s">
        <v>4668</v>
      </c>
      <c r="J467" t="s">
        <v>4669</v>
      </c>
      <c r="K467" t="s">
        <v>4670</v>
      </c>
      <c r="L467">
        <v>2018</v>
      </c>
      <c r="M467" t="s">
        <v>1302</v>
      </c>
      <c r="N467" t="s">
        <v>217</v>
      </c>
      <c r="O467" t="s">
        <v>4671</v>
      </c>
      <c r="P467" t="s">
        <v>4672</v>
      </c>
      <c r="Q467" t="s">
        <v>4673</v>
      </c>
      <c r="R467" t="s">
        <v>4674</v>
      </c>
    </row>
    <row r="468" spans="1:18">
      <c r="A468" s="2" t="str">
        <f>HYPERLINK("https://investorlist.com/investor/tiger-global-management-25017346?ref=Excel_ViewProfile","View Profile")</f>
        <v>View Profile</v>
      </c>
      <c r="B468" t="s">
        <v>3933</v>
      </c>
      <c r="C468" t="s">
        <v>181</v>
      </c>
      <c r="D468" t="s">
        <v>4675</v>
      </c>
      <c r="E468" t="s">
        <v>324</v>
      </c>
      <c r="F468" t="s">
        <v>198</v>
      </c>
      <c r="G468" t="s">
        <v>3935</v>
      </c>
      <c r="H468" t="s">
        <v>3936</v>
      </c>
      <c r="I468" t="s">
        <v>3937</v>
      </c>
      <c r="J468" t="s">
        <v>4676</v>
      </c>
      <c r="K468" t="s">
        <v>4677</v>
      </c>
      <c r="L468">
        <v>2001</v>
      </c>
      <c r="M468" t="s">
        <v>28</v>
      </c>
      <c r="N468" t="s">
        <v>217</v>
      </c>
      <c r="O468" t="s">
        <v>3939</v>
      </c>
      <c r="P468" t="s">
        <v>3940</v>
      </c>
      <c r="Q468" t="s">
        <v>4678</v>
      </c>
      <c r="R468" t="s">
        <v>38</v>
      </c>
    </row>
    <row r="469" spans="1:18">
      <c r="A469" s="2" t="str">
        <f>HYPERLINK("https://investorlist.com/investor/wasim-malik?ref=Excel_ViewProfile","View Profile")</f>
        <v>View Profile</v>
      </c>
      <c r="B469" t="s">
        <v>4679</v>
      </c>
      <c r="C469" t="s">
        <v>19</v>
      </c>
      <c r="D469" t="s">
        <v>4680</v>
      </c>
      <c r="E469" t="s">
        <v>2098</v>
      </c>
      <c r="F469" t="s">
        <v>198</v>
      </c>
      <c r="G469" t="s">
        <v>4681</v>
      </c>
      <c r="H469" t="s">
        <v>4682</v>
      </c>
      <c r="I469" t="s">
        <v>4683</v>
      </c>
      <c r="J469" t="s">
        <v>38</v>
      </c>
      <c r="K469" t="s">
        <v>4684</v>
      </c>
      <c r="L469">
        <v>2019</v>
      </c>
      <c r="M469" t="s">
        <v>4685</v>
      </c>
      <c r="N469" t="s">
        <v>19</v>
      </c>
      <c r="O469" t="s">
        <v>4686</v>
      </c>
      <c r="P469" t="s">
        <v>4687</v>
      </c>
      <c r="Q469" t="s">
        <v>4688</v>
      </c>
      <c r="R469" t="s">
        <v>4689</v>
      </c>
    </row>
    <row r="470" spans="1:18">
      <c r="A470" s="2" t="str">
        <f>HYPERLINK("https://investorlist.com/investor/ssg-capital-management?ref=Excel_ViewProfile","View Profile")</f>
        <v>View Profile</v>
      </c>
      <c r="B470" t="s">
        <v>4690</v>
      </c>
      <c r="C470" t="s">
        <v>181</v>
      </c>
      <c r="D470" t="s">
        <v>4691</v>
      </c>
      <c r="E470" t="s">
        <v>38</v>
      </c>
      <c r="F470" t="s">
        <v>585</v>
      </c>
      <c r="G470" t="s">
        <v>4692</v>
      </c>
      <c r="H470" t="s">
        <v>38</v>
      </c>
      <c r="I470" t="s">
        <v>4693</v>
      </c>
      <c r="J470" t="s">
        <v>4694</v>
      </c>
      <c r="K470" t="s">
        <v>4695</v>
      </c>
      <c r="L470">
        <v>2009</v>
      </c>
      <c r="M470" t="s">
        <v>4696</v>
      </c>
      <c r="N470" t="s">
        <v>4697</v>
      </c>
      <c r="O470" t="s">
        <v>2859</v>
      </c>
      <c r="P470" t="s">
        <v>4698</v>
      </c>
      <c r="Q470" t="s">
        <v>38</v>
      </c>
      <c r="R470" t="s">
        <v>38</v>
      </c>
    </row>
    <row r="471" spans="1:18">
      <c r="A471" s="2" t="str">
        <f>HYPERLINK("https://investorlist.com/investor/eqt-private-capital-asia-20490711?ref=Excel_ViewProfile","View Profile")</f>
        <v>View Profile</v>
      </c>
      <c r="B471" t="s">
        <v>3141</v>
      </c>
      <c r="C471" t="s">
        <v>181</v>
      </c>
      <c r="D471" t="s">
        <v>4699</v>
      </c>
      <c r="E471" t="s">
        <v>38</v>
      </c>
      <c r="F471" t="s">
        <v>585</v>
      </c>
      <c r="G471" t="s">
        <v>4700</v>
      </c>
      <c r="H471" t="s">
        <v>38</v>
      </c>
      <c r="I471" t="s">
        <v>4701</v>
      </c>
      <c r="J471" t="s">
        <v>4702</v>
      </c>
      <c r="K471" t="s">
        <v>4703</v>
      </c>
      <c r="L471">
        <v>1997</v>
      </c>
      <c r="M471" t="s">
        <v>612</v>
      </c>
      <c r="N471" t="s">
        <v>181</v>
      </c>
      <c r="O471" t="s">
        <v>2743</v>
      </c>
      <c r="P471" t="s">
        <v>4672</v>
      </c>
      <c r="Q471" t="s">
        <v>4704</v>
      </c>
      <c r="R471" t="s">
        <v>4705</v>
      </c>
    </row>
    <row r="472" spans="1:18">
      <c r="A472" s="2" t="str">
        <f>HYPERLINK("https://investorlist.com/investor/jcm-power-corporation?ref=Excel_ViewProfile","View Profile")</f>
        <v>View Profile</v>
      </c>
      <c r="B472" t="s">
        <v>4706</v>
      </c>
      <c r="C472" t="s">
        <v>181</v>
      </c>
      <c r="D472" t="s">
        <v>4707</v>
      </c>
      <c r="E472" t="s">
        <v>1186</v>
      </c>
      <c r="F472" t="s">
        <v>1187</v>
      </c>
      <c r="G472" t="s">
        <v>4708</v>
      </c>
      <c r="H472" t="s">
        <v>4709</v>
      </c>
      <c r="I472" t="s">
        <v>4710</v>
      </c>
      <c r="J472" t="s">
        <v>38</v>
      </c>
      <c r="K472" t="s">
        <v>4711</v>
      </c>
      <c r="L472">
        <v>2009</v>
      </c>
      <c r="M472" t="s">
        <v>282</v>
      </c>
      <c r="N472" t="s">
        <v>4712</v>
      </c>
      <c r="O472" t="s">
        <v>4713</v>
      </c>
      <c r="P472" t="s">
        <v>4714</v>
      </c>
      <c r="Q472" t="s">
        <v>4715</v>
      </c>
      <c r="R472" t="s">
        <v>4716</v>
      </c>
    </row>
    <row r="473" spans="1:18">
      <c r="A473" s="2" t="str">
        <f>HYPERLINK("https://investorlist.com/investor/hector-capital-partners?ref=Excel_ViewProfile","View Profile")</f>
        <v>View Profile</v>
      </c>
      <c r="B473" t="s">
        <v>4717</v>
      </c>
      <c r="C473" t="s">
        <v>181</v>
      </c>
      <c r="D473" t="s">
        <v>4718</v>
      </c>
      <c r="E473" t="s">
        <v>38</v>
      </c>
      <c r="F473" t="s">
        <v>210</v>
      </c>
      <c r="G473" t="s">
        <v>4719</v>
      </c>
      <c r="H473" t="s">
        <v>38</v>
      </c>
      <c r="I473" t="s">
        <v>4720</v>
      </c>
      <c r="J473" t="s">
        <v>4721</v>
      </c>
      <c r="K473" t="s">
        <v>4722</v>
      </c>
      <c r="L473" t="s">
        <v>38</v>
      </c>
      <c r="M473" t="s">
        <v>155</v>
      </c>
      <c r="N473" t="s">
        <v>181</v>
      </c>
      <c r="O473" t="s">
        <v>4723</v>
      </c>
      <c r="P473" t="s">
        <v>4724</v>
      </c>
      <c r="Q473" t="s">
        <v>38</v>
      </c>
      <c r="R473" t="s">
        <v>38</v>
      </c>
    </row>
    <row r="474" spans="1:18">
      <c r="A474" s="2" t="str">
        <f>HYPERLINK("https://investorlist.com/investor/tpg-newbridge?ref=Excel_ViewProfile","View Profile")</f>
        <v>View Profile</v>
      </c>
      <c r="B474" t="s">
        <v>4725</v>
      </c>
      <c r="C474" t="s">
        <v>181</v>
      </c>
      <c r="D474" t="s">
        <v>4726</v>
      </c>
      <c r="E474" t="s">
        <v>913</v>
      </c>
      <c r="F474" t="s">
        <v>198</v>
      </c>
      <c r="G474" t="s">
        <v>4727</v>
      </c>
      <c r="H474" t="s">
        <v>4728</v>
      </c>
      <c r="I474" t="s">
        <v>4729</v>
      </c>
      <c r="J474" t="s">
        <v>4730</v>
      </c>
      <c r="K474" t="s">
        <v>4731</v>
      </c>
      <c r="L474">
        <v>1994</v>
      </c>
      <c r="M474" t="s">
        <v>202</v>
      </c>
      <c r="N474" t="s">
        <v>181</v>
      </c>
      <c r="O474" t="s">
        <v>4732</v>
      </c>
      <c r="P474" t="s">
        <v>4698</v>
      </c>
      <c r="Q474" t="s">
        <v>4733</v>
      </c>
      <c r="R474" t="s">
        <v>4734</v>
      </c>
    </row>
    <row r="475" spans="1:18">
      <c r="A475" s="2" t="str">
        <f>HYPERLINK("https://investorlist.com/investor/oppenheimer-partners?ref=Excel_ViewProfile","View Profile")</f>
        <v>View Profile</v>
      </c>
      <c r="B475" t="s">
        <v>4735</v>
      </c>
      <c r="C475" t="s">
        <v>181</v>
      </c>
      <c r="D475" t="s">
        <v>4736</v>
      </c>
      <c r="E475" t="s">
        <v>38</v>
      </c>
      <c r="F475" t="s">
        <v>1037</v>
      </c>
      <c r="G475" t="s">
        <v>4737</v>
      </c>
      <c r="H475" t="s">
        <v>38</v>
      </c>
      <c r="I475" t="s">
        <v>4738</v>
      </c>
      <c r="J475" t="s">
        <v>4739</v>
      </c>
      <c r="K475" t="s">
        <v>4740</v>
      </c>
      <c r="L475">
        <v>2016</v>
      </c>
      <c r="M475" t="s">
        <v>4741</v>
      </c>
      <c r="N475" t="s">
        <v>181</v>
      </c>
      <c r="O475" t="s">
        <v>4742</v>
      </c>
      <c r="P475" t="s">
        <v>4743</v>
      </c>
      <c r="Q475" t="s">
        <v>38</v>
      </c>
      <c r="R475" t="s">
        <v>4744</v>
      </c>
    </row>
    <row r="476" spans="1:18">
      <c r="A476" s="2" t="str">
        <f>HYPERLINK("https://investorlist.com/investor/scott-shleifer?ref=Excel_ViewProfile","View Profile")</f>
        <v>View Profile</v>
      </c>
      <c r="B476" t="s">
        <v>4745</v>
      </c>
      <c r="C476" t="s">
        <v>136</v>
      </c>
      <c r="D476" t="s">
        <v>4746</v>
      </c>
      <c r="E476" t="s">
        <v>324</v>
      </c>
      <c r="F476" t="s">
        <v>198</v>
      </c>
      <c r="G476" t="s">
        <v>3935</v>
      </c>
      <c r="H476" t="s">
        <v>3936</v>
      </c>
      <c r="I476" t="s">
        <v>3937</v>
      </c>
      <c r="J476" t="s">
        <v>38</v>
      </c>
      <c r="K476" t="s">
        <v>4747</v>
      </c>
      <c r="L476">
        <v>2001</v>
      </c>
      <c r="M476" t="s">
        <v>1278</v>
      </c>
      <c r="N476" t="s">
        <v>217</v>
      </c>
      <c r="O476" t="s">
        <v>4748</v>
      </c>
      <c r="P476" t="s">
        <v>4749</v>
      </c>
      <c r="Q476" t="s">
        <v>4750</v>
      </c>
      <c r="R476" t="s">
        <v>4751</v>
      </c>
    </row>
    <row r="477" spans="1:18">
      <c r="A477" s="2" t="str">
        <f>HYPERLINK("https://investorlist.com/investor/inco-investissement?ref=Excel_ViewProfile","View Profile")</f>
        <v>View Profile</v>
      </c>
      <c r="B477" t="s">
        <v>4752</v>
      </c>
      <c r="C477" t="s">
        <v>181</v>
      </c>
      <c r="D477" t="s">
        <v>38</v>
      </c>
      <c r="E477" t="s">
        <v>38</v>
      </c>
      <c r="F477" t="s">
        <v>744</v>
      </c>
      <c r="G477" t="s">
        <v>2617</v>
      </c>
      <c r="H477" t="s">
        <v>38</v>
      </c>
      <c r="I477" t="s">
        <v>4753</v>
      </c>
      <c r="J477" t="s">
        <v>2620</v>
      </c>
      <c r="K477" t="s">
        <v>4754</v>
      </c>
      <c r="L477">
        <v>2012</v>
      </c>
      <c r="M477" t="s">
        <v>1526</v>
      </c>
      <c r="N477" t="s">
        <v>1972</v>
      </c>
      <c r="O477" t="s">
        <v>4755</v>
      </c>
      <c r="P477" t="s">
        <v>4756</v>
      </c>
      <c r="Q477" t="s">
        <v>4757</v>
      </c>
      <c r="R477" t="s">
        <v>38</v>
      </c>
    </row>
    <row r="478" spans="1:18">
      <c r="A478" s="2" t="str">
        <f>HYPERLINK("https://investorlist.com/investor/metrica-partners-pte-ltd?ref=Excel_ViewProfile","View Profile")</f>
        <v>View Profile</v>
      </c>
      <c r="B478" t="s">
        <v>4758</v>
      </c>
      <c r="C478" t="s">
        <v>136</v>
      </c>
      <c r="D478" t="s">
        <v>4759</v>
      </c>
      <c r="E478" t="s">
        <v>38</v>
      </c>
      <c r="F478" t="s">
        <v>210</v>
      </c>
      <c r="G478" t="s">
        <v>4760</v>
      </c>
      <c r="H478" t="s">
        <v>4761</v>
      </c>
      <c r="I478" t="s">
        <v>4762</v>
      </c>
      <c r="J478" t="s">
        <v>4763</v>
      </c>
      <c r="K478" t="s">
        <v>4764</v>
      </c>
      <c r="L478">
        <v>2016</v>
      </c>
      <c r="M478" t="s">
        <v>1302</v>
      </c>
      <c r="N478" t="s">
        <v>217</v>
      </c>
      <c r="O478" t="s">
        <v>4765</v>
      </c>
      <c r="P478" t="s">
        <v>2421</v>
      </c>
      <c r="Q478" t="s">
        <v>4766</v>
      </c>
      <c r="R478" t="s">
        <v>4767</v>
      </c>
    </row>
    <row r="479" spans="1:18">
      <c r="A479" s="2" t="str">
        <f>HYPERLINK("https://investorlist.com/investor/worldsec-limited?ref=Excel_ViewProfile","View Profile")</f>
        <v>View Profile</v>
      </c>
      <c r="B479" t="s">
        <v>4768</v>
      </c>
      <c r="C479" t="s">
        <v>136</v>
      </c>
      <c r="D479" t="s">
        <v>4769</v>
      </c>
      <c r="E479" t="s">
        <v>38</v>
      </c>
      <c r="F479" t="s">
        <v>585</v>
      </c>
      <c r="G479" t="s">
        <v>4770</v>
      </c>
      <c r="H479" t="s">
        <v>38</v>
      </c>
      <c r="I479" t="s">
        <v>4771</v>
      </c>
      <c r="J479" t="s">
        <v>4772</v>
      </c>
      <c r="K479" t="s">
        <v>4773</v>
      </c>
      <c r="L479">
        <v>1995</v>
      </c>
      <c r="M479" t="s">
        <v>1302</v>
      </c>
      <c r="N479" t="s">
        <v>217</v>
      </c>
      <c r="O479" t="s">
        <v>1152</v>
      </c>
      <c r="P479" t="s">
        <v>2277</v>
      </c>
      <c r="Q479" t="s">
        <v>4774</v>
      </c>
      <c r="R479" t="s">
        <v>4775</v>
      </c>
    </row>
    <row r="480" spans="1:18">
      <c r="A480" s="2" t="str">
        <f>HYPERLINK("https://investorlist.com/investor/incofin-cvso?ref=Excel_ViewProfile","View Profile")</f>
        <v>View Profile</v>
      </c>
      <c r="B480" t="s">
        <v>4776</v>
      </c>
      <c r="C480" t="s">
        <v>250</v>
      </c>
      <c r="D480" t="s">
        <v>4777</v>
      </c>
      <c r="E480" t="s">
        <v>38</v>
      </c>
      <c r="F480" t="s">
        <v>4778</v>
      </c>
      <c r="G480" t="s">
        <v>4779</v>
      </c>
      <c r="H480" t="s">
        <v>4780</v>
      </c>
      <c r="I480" t="s">
        <v>4781</v>
      </c>
      <c r="J480" t="s">
        <v>4782</v>
      </c>
      <c r="K480" t="s">
        <v>4783</v>
      </c>
      <c r="L480">
        <v>1992</v>
      </c>
      <c r="M480" t="s">
        <v>118</v>
      </c>
      <c r="N480" t="s">
        <v>4784</v>
      </c>
      <c r="O480" t="s">
        <v>4785</v>
      </c>
      <c r="P480" t="s">
        <v>4786</v>
      </c>
      <c r="Q480" t="s">
        <v>38</v>
      </c>
      <c r="R480" t="s">
        <v>4787</v>
      </c>
    </row>
    <row r="481" spans="1:18">
      <c r="A481" s="2" t="str">
        <f>HYPERLINK("https://investorlist.com/investor/agricultural-bank-investment?ref=Excel_ViewProfile","View Profile")</f>
        <v>View Profile</v>
      </c>
      <c r="B481" t="s">
        <v>4788</v>
      </c>
      <c r="C481" t="s">
        <v>250</v>
      </c>
      <c r="D481" t="s">
        <v>4789</v>
      </c>
      <c r="E481" t="s">
        <v>4790</v>
      </c>
      <c r="F481" t="s">
        <v>225</v>
      </c>
      <c r="G481" t="s">
        <v>4791</v>
      </c>
      <c r="H481" t="s">
        <v>38</v>
      </c>
      <c r="I481" t="s">
        <v>4792</v>
      </c>
      <c r="J481" t="s">
        <v>38</v>
      </c>
      <c r="K481" t="s">
        <v>4793</v>
      </c>
      <c r="L481">
        <v>0</v>
      </c>
      <c r="M481" t="s">
        <v>537</v>
      </c>
      <c r="N481" t="s">
        <v>4794</v>
      </c>
      <c r="O481" t="s">
        <v>2898</v>
      </c>
      <c r="P481" t="s">
        <v>4795</v>
      </c>
      <c r="Q481" t="s">
        <v>4796</v>
      </c>
      <c r="R481" t="s">
        <v>38</v>
      </c>
    </row>
    <row r="482" spans="1:18">
      <c r="A482" s="2" t="str">
        <f>HYPERLINK("https://investorlist.com/investor/burkhan-capital?ref=Excel_ViewProfile","View Profile")</f>
        <v>View Profile</v>
      </c>
      <c r="B482" t="s">
        <v>4797</v>
      </c>
      <c r="C482" t="s">
        <v>136</v>
      </c>
      <c r="D482" t="s">
        <v>4307</v>
      </c>
      <c r="E482" t="s">
        <v>4178</v>
      </c>
      <c r="F482" t="s">
        <v>198</v>
      </c>
      <c r="G482" t="s">
        <v>4308</v>
      </c>
      <c r="H482" t="s">
        <v>38</v>
      </c>
      <c r="I482" t="s">
        <v>4309</v>
      </c>
      <c r="J482" t="s">
        <v>4310</v>
      </c>
      <c r="K482" t="s">
        <v>4798</v>
      </c>
      <c r="L482">
        <v>0</v>
      </c>
      <c r="M482" t="s">
        <v>229</v>
      </c>
      <c r="N482" t="s">
        <v>4799</v>
      </c>
      <c r="O482" t="s">
        <v>4800</v>
      </c>
      <c r="P482" t="s">
        <v>4801</v>
      </c>
      <c r="Q482" t="s">
        <v>4802</v>
      </c>
      <c r="R482" t="s">
        <v>4803</v>
      </c>
    </row>
    <row r="483" spans="1:18">
      <c r="A483" s="2" t="str">
        <f>HYPERLINK("https://investorlist.com/investor/peacock-capital-group?ref=Excel_ViewProfile","View Profile")</f>
        <v>View Profile</v>
      </c>
      <c r="B483" t="s">
        <v>4804</v>
      </c>
      <c r="C483" t="s">
        <v>136</v>
      </c>
      <c r="D483" t="s">
        <v>4805</v>
      </c>
      <c r="E483" t="s">
        <v>38</v>
      </c>
      <c r="F483" t="s">
        <v>585</v>
      </c>
      <c r="G483" t="s">
        <v>4806</v>
      </c>
      <c r="H483" t="s">
        <v>38</v>
      </c>
      <c r="I483" t="s">
        <v>4807</v>
      </c>
      <c r="J483" t="s">
        <v>4808</v>
      </c>
      <c r="K483" t="s">
        <v>4809</v>
      </c>
      <c r="L483">
        <v>2012</v>
      </c>
      <c r="M483" t="s">
        <v>118</v>
      </c>
      <c r="N483" t="s">
        <v>217</v>
      </c>
      <c r="O483" t="s">
        <v>4810</v>
      </c>
      <c r="P483" t="s">
        <v>4811</v>
      </c>
      <c r="Q483" t="s">
        <v>4812</v>
      </c>
      <c r="R483" t="s">
        <v>4813</v>
      </c>
    </row>
    <row r="484" spans="1:18">
      <c r="A484" s="2" t="str">
        <f>HYPERLINK("https://investorlist.com/investor/altavista-investment-management-uk-llp?ref=Excel_ViewProfile","View Profile")</f>
        <v>View Profile</v>
      </c>
      <c r="B484" t="s">
        <v>4814</v>
      </c>
      <c r="C484" t="s">
        <v>3570</v>
      </c>
      <c r="D484" t="s">
        <v>4815</v>
      </c>
      <c r="E484" t="s">
        <v>934</v>
      </c>
      <c r="F484" t="s">
        <v>360</v>
      </c>
      <c r="G484" t="s">
        <v>4816</v>
      </c>
      <c r="H484" t="s">
        <v>38</v>
      </c>
      <c r="I484" t="s">
        <v>4817</v>
      </c>
      <c r="J484" t="s">
        <v>4818</v>
      </c>
      <c r="K484" t="s">
        <v>4819</v>
      </c>
      <c r="L484">
        <v>2011</v>
      </c>
      <c r="M484" t="s">
        <v>2188</v>
      </c>
      <c r="N484" t="s">
        <v>4820</v>
      </c>
      <c r="O484" t="s">
        <v>3501</v>
      </c>
      <c r="P484" t="s">
        <v>4821</v>
      </c>
      <c r="Q484" t="s">
        <v>4822</v>
      </c>
      <c r="R484" t="s">
        <v>4823</v>
      </c>
    </row>
    <row r="485" spans="1:18">
      <c r="A485" s="2" t="str">
        <f>HYPERLINK("https://investorlist.com/investor/invesco-developing-markets-fund?ref=Excel_ViewProfile","View Profile")</f>
        <v>View Profile</v>
      </c>
      <c r="B485" t="s">
        <v>4824</v>
      </c>
      <c r="C485" t="s">
        <v>1424</v>
      </c>
      <c r="D485" t="s">
        <v>4825</v>
      </c>
      <c r="E485" t="s">
        <v>324</v>
      </c>
      <c r="F485" t="s">
        <v>198</v>
      </c>
      <c r="G485" t="s">
        <v>4826</v>
      </c>
      <c r="H485" t="s">
        <v>38</v>
      </c>
      <c r="I485" t="s">
        <v>4827</v>
      </c>
      <c r="J485" t="s">
        <v>4828</v>
      </c>
      <c r="K485" t="s">
        <v>4829</v>
      </c>
      <c r="L485">
        <v>1996</v>
      </c>
      <c r="M485" t="s">
        <v>1539</v>
      </c>
      <c r="N485" t="s">
        <v>3321</v>
      </c>
      <c r="O485" t="s">
        <v>4830</v>
      </c>
      <c r="P485" t="s">
        <v>4831</v>
      </c>
      <c r="Q485" t="s">
        <v>4832</v>
      </c>
      <c r="R485" t="s">
        <v>4833</v>
      </c>
    </row>
    <row r="486" spans="1:18">
      <c r="A486" s="2" t="str">
        <f>HYPERLINK("https://investorlist.com/investor/eden-impact?ref=Excel_ViewProfile","View Profile")</f>
        <v>View Profile</v>
      </c>
      <c r="B486" t="s">
        <v>4834</v>
      </c>
      <c r="C486" t="s">
        <v>136</v>
      </c>
      <c r="D486" t="s">
        <v>4835</v>
      </c>
      <c r="E486" t="s">
        <v>38</v>
      </c>
      <c r="F486" t="s">
        <v>210</v>
      </c>
      <c r="G486" t="s">
        <v>4836</v>
      </c>
      <c r="H486" t="s">
        <v>38</v>
      </c>
      <c r="I486" t="s">
        <v>38</v>
      </c>
      <c r="J486" t="s">
        <v>4837</v>
      </c>
      <c r="K486" t="s">
        <v>4838</v>
      </c>
      <c r="L486">
        <v>2020</v>
      </c>
      <c r="M486" t="s">
        <v>737</v>
      </c>
      <c r="N486" t="s">
        <v>1972</v>
      </c>
      <c r="O486" t="s">
        <v>4839</v>
      </c>
      <c r="P486" t="s">
        <v>4840</v>
      </c>
      <c r="Q486" t="s">
        <v>4841</v>
      </c>
      <c r="R486" t="s">
        <v>4842</v>
      </c>
    </row>
    <row r="487" spans="1:18">
      <c r="A487" s="2" t="str">
        <f>HYPERLINK("https://investorlist.com/investor/intellecap?ref=Excel_ViewProfile","View Profile")</f>
        <v>View Profile</v>
      </c>
      <c r="B487" t="s">
        <v>4843</v>
      </c>
      <c r="C487" t="s">
        <v>1487</v>
      </c>
      <c r="D487" t="s">
        <v>4844</v>
      </c>
      <c r="E487" t="s">
        <v>1329</v>
      </c>
      <c r="F487" t="s">
        <v>572</v>
      </c>
      <c r="G487" t="s">
        <v>4845</v>
      </c>
      <c r="H487" t="s">
        <v>4846</v>
      </c>
      <c r="I487" t="s">
        <v>4847</v>
      </c>
      <c r="J487" t="s">
        <v>4848</v>
      </c>
      <c r="K487" t="s">
        <v>4849</v>
      </c>
      <c r="L487">
        <v>2002</v>
      </c>
      <c r="M487" t="s">
        <v>118</v>
      </c>
      <c r="N487" t="s">
        <v>1972</v>
      </c>
      <c r="O487" t="s">
        <v>4850</v>
      </c>
      <c r="P487" t="s">
        <v>4851</v>
      </c>
      <c r="Q487" t="s">
        <v>4852</v>
      </c>
      <c r="R487" t="s">
        <v>4853</v>
      </c>
    </row>
    <row r="488" spans="1:18">
      <c r="A488" s="2" t="str">
        <f>HYPERLINK("https://investorlist.com/investor/calypso-global-investment-fund?ref=Excel_ViewProfile","View Profile")</f>
        <v>View Profile</v>
      </c>
      <c r="B488" t="s">
        <v>4854</v>
      </c>
      <c r="C488" t="s">
        <v>3570</v>
      </c>
      <c r="D488" t="s">
        <v>4855</v>
      </c>
      <c r="E488" t="s">
        <v>4856</v>
      </c>
      <c r="F488" t="s">
        <v>3632</v>
      </c>
      <c r="G488" t="s">
        <v>4857</v>
      </c>
      <c r="H488" t="s">
        <v>38</v>
      </c>
      <c r="I488" t="s">
        <v>4858</v>
      </c>
      <c r="J488" t="s">
        <v>38</v>
      </c>
      <c r="K488" t="s">
        <v>4859</v>
      </c>
      <c r="L488" t="s">
        <v>38</v>
      </c>
      <c r="M488" t="s">
        <v>4860</v>
      </c>
      <c r="N488" t="s">
        <v>4861</v>
      </c>
      <c r="O488" t="s">
        <v>4862</v>
      </c>
      <c r="P488" t="s">
        <v>4863</v>
      </c>
      <c r="Q488" t="s">
        <v>38</v>
      </c>
      <c r="R488" t="s">
        <v>38</v>
      </c>
    </row>
    <row r="489" spans="1:18">
      <c r="A489" s="2" t="str">
        <f>HYPERLINK("https://investorlist.com/investor/crevisse-partners?ref=Excel_ViewProfile","View Profile")</f>
        <v>View Profile</v>
      </c>
      <c r="B489" t="s">
        <v>4864</v>
      </c>
      <c r="C489" t="s">
        <v>136</v>
      </c>
      <c r="D489" t="s">
        <v>4865</v>
      </c>
      <c r="E489" t="s">
        <v>595</v>
      </c>
      <c r="F489" t="s">
        <v>596</v>
      </c>
      <c r="G489" t="s">
        <v>4866</v>
      </c>
      <c r="H489" t="s">
        <v>4867</v>
      </c>
      <c r="I489" t="s">
        <v>4868</v>
      </c>
      <c r="J489" t="s">
        <v>4869</v>
      </c>
      <c r="K489" t="s">
        <v>4870</v>
      </c>
      <c r="L489">
        <v>2004</v>
      </c>
      <c r="M489" t="s">
        <v>737</v>
      </c>
      <c r="N489" t="s">
        <v>1972</v>
      </c>
      <c r="O489" t="s">
        <v>4871</v>
      </c>
      <c r="P489" t="s">
        <v>3091</v>
      </c>
      <c r="Q489" t="s">
        <v>4872</v>
      </c>
      <c r="R489" t="s">
        <v>4873</v>
      </c>
    </row>
    <row r="490" spans="1:18">
      <c r="A490" s="2" t="str">
        <f>HYPERLINK("https://investorlist.com/investor/almoayed-general-w-l-l?ref=Excel_ViewProfile","View Profile")</f>
        <v>View Profile</v>
      </c>
      <c r="B490" t="s">
        <v>4874</v>
      </c>
      <c r="C490" t="s">
        <v>136</v>
      </c>
      <c r="D490" t="s">
        <v>4875</v>
      </c>
      <c r="E490" t="s">
        <v>38</v>
      </c>
      <c r="F490" t="s">
        <v>517</v>
      </c>
      <c r="G490" t="s">
        <v>4876</v>
      </c>
      <c r="H490" t="s">
        <v>4877</v>
      </c>
      <c r="I490" t="s">
        <v>4878</v>
      </c>
      <c r="J490" t="s">
        <v>4879</v>
      </c>
      <c r="K490" t="s">
        <v>4880</v>
      </c>
      <c r="L490" t="s">
        <v>38</v>
      </c>
      <c r="M490" t="s">
        <v>155</v>
      </c>
      <c r="N490" t="s">
        <v>4881</v>
      </c>
      <c r="O490" t="s">
        <v>4882</v>
      </c>
      <c r="P490" t="s">
        <v>4883</v>
      </c>
      <c r="Q490" t="s">
        <v>38</v>
      </c>
      <c r="R490" t="s">
        <v>38</v>
      </c>
    </row>
    <row r="491" spans="1:18">
      <c r="A491" s="2" t="str">
        <f>HYPERLINK("https://investorlist.com/investor/e-finance-for-digital-and-financial-investments-s-a-e?ref=Excel_ViewProfile","View Profile")</f>
        <v>View Profile</v>
      </c>
      <c r="B491" t="s">
        <v>4884</v>
      </c>
      <c r="C491" t="s">
        <v>136</v>
      </c>
      <c r="D491" t="s">
        <v>4885</v>
      </c>
      <c r="E491" t="s">
        <v>2863</v>
      </c>
      <c r="F491" t="s">
        <v>265</v>
      </c>
      <c r="G491" t="s">
        <v>4886</v>
      </c>
      <c r="H491" t="s">
        <v>4887</v>
      </c>
      <c r="I491" t="s">
        <v>4888</v>
      </c>
      <c r="J491" t="s">
        <v>4889</v>
      </c>
      <c r="K491" t="s">
        <v>4890</v>
      </c>
      <c r="L491">
        <v>2005</v>
      </c>
      <c r="M491" t="s">
        <v>229</v>
      </c>
      <c r="N491" t="s">
        <v>4891</v>
      </c>
      <c r="O491" t="s">
        <v>4892</v>
      </c>
      <c r="P491" t="s">
        <v>739</v>
      </c>
      <c r="Q491" t="s">
        <v>4893</v>
      </c>
      <c r="R491" t="s">
        <v>4894</v>
      </c>
    </row>
    <row r="492" spans="1:18">
      <c r="A492" s="2" t="str">
        <f>HYPERLINK("https://investorlist.com/investor/ansonia-holdings-singapore-b-v?ref=Excel_ViewProfile","View Profile")</f>
        <v>View Profile</v>
      </c>
      <c r="B492" t="s">
        <v>4895</v>
      </c>
      <c r="C492" t="s">
        <v>136</v>
      </c>
      <c r="D492" t="s">
        <v>4896</v>
      </c>
      <c r="E492" t="s">
        <v>399</v>
      </c>
      <c r="F492" t="s">
        <v>210</v>
      </c>
      <c r="G492" t="s">
        <v>4897</v>
      </c>
      <c r="H492" t="s">
        <v>38</v>
      </c>
      <c r="I492" t="s">
        <v>4898</v>
      </c>
      <c r="J492" t="s">
        <v>4899</v>
      </c>
      <c r="K492" t="s">
        <v>4900</v>
      </c>
      <c r="L492">
        <v>1999</v>
      </c>
      <c r="M492" t="s">
        <v>1302</v>
      </c>
      <c r="N492" t="s">
        <v>217</v>
      </c>
      <c r="O492" t="s">
        <v>177</v>
      </c>
      <c r="P492" t="s">
        <v>4901</v>
      </c>
      <c r="Q492" t="s">
        <v>4902</v>
      </c>
      <c r="R492" t="s">
        <v>38</v>
      </c>
    </row>
    <row r="493" spans="1:18">
      <c r="A493" s="2" t="str">
        <f>HYPERLINK("https://investorlist.com/investor/al-surooh-investment?ref=Excel_ViewProfile","View Profile")</f>
        <v>View Profile</v>
      </c>
      <c r="B493" t="s">
        <v>4903</v>
      </c>
      <c r="C493" t="s">
        <v>136</v>
      </c>
      <c r="D493" t="s">
        <v>4904</v>
      </c>
      <c r="E493" t="s">
        <v>38</v>
      </c>
      <c r="F493" t="s">
        <v>3075</v>
      </c>
      <c r="G493" t="s">
        <v>4905</v>
      </c>
      <c r="H493" t="s">
        <v>38</v>
      </c>
      <c r="I493" t="s">
        <v>4906</v>
      </c>
      <c r="J493" t="s">
        <v>4907</v>
      </c>
      <c r="K493" t="s">
        <v>4908</v>
      </c>
      <c r="L493">
        <v>2005</v>
      </c>
      <c r="M493" t="s">
        <v>229</v>
      </c>
      <c r="N493" t="s">
        <v>4909</v>
      </c>
      <c r="O493" t="s">
        <v>4910</v>
      </c>
      <c r="P493" t="s">
        <v>2484</v>
      </c>
      <c r="Q493" t="s">
        <v>4911</v>
      </c>
      <c r="R493" t="s">
        <v>4912</v>
      </c>
    </row>
    <row r="494" spans="1:18">
      <c r="A494" s="2" t="str">
        <f>HYPERLINK("https://investorlist.com/investor/oman-emirates-investment-holding-company-saog?ref=Excel_ViewProfile","View Profile")</f>
        <v>View Profile</v>
      </c>
      <c r="B494" t="s">
        <v>4913</v>
      </c>
      <c r="C494" t="s">
        <v>136</v>
      </c>
      <c r="D494" t="s">
        <v>4914</v>
      </c>
      <c r="E494" t="s">
        <v>3074</v>
      </c>
      <c r="F494" t="s">
        <v>3075</v>
      </c>
      <c r="G494" t="s">
        <v>4915</v>
      </c>
      <c r="H494" t="s">
        <v>38</v>
      </c>
      <c r="I494" t="s">
        <v>4916</v>
      </c>
      <c r="J494" t="s">
        <v>4917</v>
      </c>
      <c r="K494" t="s">
        <v>4918</v>
      </c>
      <c r="L494" t="s">
        <v>38</v>
      </c>
      <c r="M494" t="s">
        <v>563</v>
      </c>
      <c r="N494" t="s">
        <v>4919</v>
      </c>
      <c r="O494" t="s">
        <v>4920</v>
      </c>
      <c r="P494" t="s">
        <v>4921</v>
      </c>
      <c r="Q494" t="s">
        <v>38</v>
      </c>
      <c r="R494" t="s">
        <v>38</v>
      </c>
    </row>
    <row r="495" spans="1:18">
      <c r="A495" s="2" t="str">
        <f>HYPERLINK("https://investorlist.com/investor/rowan-brewer?ref=Excel_ViewProfile","View Profile")</f>
        <v>View Profile</v>
      </c>
      <c r="B495" t="s">
        <v>4922</v>
      </c>
      <c r="C495" t="s">
        <v>4923</v>
      </c>
      <c r="D495" t="s">
        <v>4924</v>
      </c>
      <c r="E495" t="s">
        <v>934</v>
      </c>
      <c r="F495" t="s">
        <v>360</v>
      </c>
      <c r="G495" t="s">
        <v>4925</v>
      </c>
      <c r="H495" t="s">
        <v>38</v>
      </c>
      <c r="I495" t="s">
        <v>4926</v>
      </c>
      <c r="J495" t="s">
        <v>4927</v>
      </c>
      <c r="K495" t="s">
        <v>4928</v>
      </c>
      <c r="L495">
        <v>2015</v>
      </c>
      <c r="M495" t="s">
        <v>64</v>
      </c>
      <c r="N495" t="s">
        <v>19</v>
      </c>
      <c r="O495" t="s">
        <v>4929</v>
      </c>
      <c r="P495" t="s">
        <v>4930</v>
      </c>
      <c r="Q495" t="s">
        <v>38</v>
      </c>
      <c r="R495" t="s">
        <v>4931</v>
      </c>
    </row>
    <row r="496" spans="1:18">
      <c r="A496" s="2" t="str">
        <f>HYPERLINK("https://investorlist.com/investor/fernando-campos?ref=Excel_ViewProfile","View Profile")</f>
        <v>View Profile</v>
      </c>
      <c r="B496" t="s">
        <v>4932</v>
      </c>
      <c r="C496" t="s">
        <v>4923</v>
      </c>
      <c r="D496" t="s">
        <v>4933</v>
      </c>
      <c r="E496" t="s">
        <v>4178</v>
      </c>
      <c r="F496" t="s">
        <v>198</v>
      </c>
      <c r="G496" t="s">
        <v>4934</v>
      </c>
      <c r="H496" t="s">
        <v>4935</v>
      </c>
      <c r="I496" t="s">
        <v>4936</v>
      </c>
      <c r="J496" t="s">
        <v>38</v>
      </c>
      <c r="K496" t="s">
        <v>4937</v>
      </c>
      <c r="L496">
        <v>0</v>
      </c>
      <c r="M496" t="s">
        <v>737</v>
      </c>
      <c r="N496" t="s">
        <v>119</v>
      </c>
      <c r="O496" t="s">
        <v>4938</v>
      </c>
      <c r="P496" t="s">
        <v>4939</v>
      </c>
      <c r="Q496" t="s">
        <v>38</v>
      </c>
      <c r="R496" t="s">
        <v>4940</v>
      </c>
    </row>
    <row r="497" spans="1:18">
      <c r="A497" s="2" t="str">
        <f>HYPERLINK("https://investorlist.com/investor/loyal-vc-76492007?ref=Excel_ViewProfile","View Profile")</f>
        <v>View Profile</v>
      </c>
      <c r="B497" t="s">
        <v>4941</v>
      </c>
      <c r="C497" t="s">
        <v>19</v>
      </c>
      <c r="D497" t="s">
        <v>4942</v>
      </c>
      <c r="E497" t="s">
        <v>1186</v>
      </c>
      <c r="F497" t="s">
        <v>1187</v>
      </c>
      <c r="G497" t="s">
        <v>4943</v>
      </c>
      <c r="H497" t="s">
        <v>38</v>
      </c>
      <c r="I497" t="s">
        <v>4944</v>
      </c>
      <c r="J497" t="s">
        <v>4945</v>
      </c>
      <c r="K497" t="s">
        <v>4946</v>
      </c>
      <c r="L497">
        <v>2018</v>
      </c>
      <c r="M497" t="s">
        <v>87</v>
      </c>
      <c r="N497" t="s">
        <v>19</v>
      </c>
      <c r="O497" t="s">
        <v>4947</v>
      </c>
      <c r="P497" t="s">
        <v>4948</v>
      </c>
      <c r="Q497" t="s">
        <v>4949</v>
      </c>
      <c r="R497" t="s">
        <v>4950</v>
      </c>
    </row>
    <row r="498" spans="1:18">
      <c r="A498" s="2" t="str">
        <f>HYPERLINK("https://investorlist.com/investor/honda-strategic-venturing?ref=Excel_ViewProfile","View Profile")</f>
        <v>View Profile</v>
      </c>
      <c r="B498" t="s">
        <v>4951</v>
      </c>
      <c r="C498" t="s">
        <v>530</v>
      </c>
      <c r="D498" t="s">
        <v>4952</v>
      </c>
      <c r="E498" t="s">
        <v>312</v>
      </c>
      <c r="F498" t="s">
        <v>198</v>
      </c>
      <c r="G498" t="s">
        <v>4953</v>
      </c>
      <c r="H498" t="s">
        <v>38</v>
      </c>
      <c r="I498" t="s">
        <v>4954</v>
      </c>
      <c r="J498" t="s">
        <v>38</v>
      </c>
      <c r="K498" t="s">
        <v>4955</v>
      </c>
      <c r="L498">
        <v>2016</v>
      </c>
      <c r="M498" t="s">
        <v>118</v>
      </c>
      <c r="N498" t="s">
        <v>19</v>
      </c>
      <c r="O498" t="s">
        <v>4956</v>
      </c>
      <c r="P498" t="s">
        <v>4957</v>
      </c>
      <c r="Q498" t="s">
        <v>4958</v>
      </c>
      <c r="R498" t="s">
        <v>4959</v>
      </c>
    </row>
    <row r="499" spans="1:18">
      <c r="A499" s="2" t="str">
        <f>HYPERLINK("https://investorlist.com/investor/jonathan-siegel?ref=Excel_ViewProfile","View Profile")</f>
        <v>View Profile</v>
      </c>
      <c r="B499" t="s">
        <v>4960</v>
      </c>
      <c r="C499" t="s">
        <v>19</v>
      </c>
      <c r="D499" t="s">
        <v>424</v>
      </c>
      <c r="E499" t="s">
        <v>312</v>
      </c>
      <c r="F499" t="s">
        <v>198</v>
      </c>
      <c r="G499" t="s">
        <v>4961</v>
      </c>
      <c r="H499" t="s">
        <v>426</v>
      </c>
      <c r="I499" t="s">
        <v>427</v>
      </c>
      <c r="J499" t="s">
        <v>2777</v>
      </c>
      <c r="K499" t="s">
        <v>429</v>
      </c>
      <c r="L499">
        <v>2010</v>
      </c>
      <c r="M499" t="s">
        <v>677</v>
      </c>
      <c r="N499" t="s">
        <v>19</v>
      </c>
      <c r="O499" t="s">
        <v>431</v>
      </c>
      <c r="P499" t="s">
        <v>432</v>
      </c>
      <c r="Q499" t="s">
        <v>433</v>
      </c>
      <c r="R499" t="s">
        <v>4962</v>
      </c>
    </row>
    <row r="500" spans="1:18">
      <c r="A500" s="2" t="str">
        <f>HYPERLINK("https://investorlist.com/investor/a15-venture-capital?ref=Excel_ViewProfile","View Profile")</f>
        <v>View Profile</v>
      </c>
      <c r="B500" t="s">
        <v>4963</v>
      </c>
      <c r="C500" t="s">
        <v>19</v>
      </c>
      <c r="D500" t="s">
        <v>4964</v>
      </c>
      <c r="E500" t="s">
        <v>2172</v>
      </c>
      <c r="F500" t="s">
        <v>265</v>
      </c>
      <c r="G500" t="s">
        <v>3945</v>
      </c>
      <c r="H500" t="s">
        <v>3946</v>
      </c>
      <c r="I500" t="s">
        <v>3947</v>
      </c>
      <c r="J500" t="s">
        <v>4965</v>
      </c>
      <c r="K500" t="s">
        <v>4966</v>
      </c>
      <c r="L500">
        <v>2015</v>
      </c>
      <c r="M500" t="s">
        <v>2492</v>
      </c>
      <c r="N500" t="s">
        <v>19</v>
      </c>
      <c r="O500" t="s">
        <v>4967</v>
      </c>
      <c r="P500" t="s">
        <v>4968</v>
      </c>
      <c r="Q500" t="s">
        <v>4969</v>
      </c>
      <c r="R500" t="s">
        <v>4970</v>
      </c>
    </row>
    <row r="501" spans="1:18">
      <c r="A501" s="2" t="str">
        <f>HYPERLINK("https://investorlist.com/investor/founders-fund-44660752?ref=Excel_ViewProfile","View Profile")</f>
        <v>View Profile</v>
      </c>
      <c r="B501" t="s">
        <v>4971</v>
      </c>
      <c r="C501" t="s">
        <v>19</v>
      </c>
      <c r="D501" t="s">
        <v>424</v>
      </c>
      <c r="E501" t="s">
        <v>312</v>
      </c>
      <c r="F501" t="s">
        <v>198</v>
      </c>
      <c r="G501" t="s">
        <v>4972</v>
      </c>
      <c r="H501" t="s">
        <v>4973</v>
      </c>
      <c r="I501" t="s">
        <v>4974</v>
      </c>
      <c r="J501" t="s">
        <v>4975</v>
      </c>
      <c r="K501" t="s">
        <v>4976</v>
      </c>
      <c r="L501">
        <v>2005</v>
      </c>
      <c r="M501" t="s">
        <v>537</v>
      </c>
      <c r="N501" t="s">
        <v>19</v>
      </c>
      <c r="O501" t="s">
        <v>4977</v>
      </c>
      <c r="P501" t="s">
        <v>4978</v>
      </c>
      <c r="Q501" t="s">
        <v>4979</v>
      </c>
      <c r="R501" t="s">
        <v>4980</v>
      </c>
    </row>
    <row r="502" spans="1:18">
      <c r="A502" s="2" t="str">
        <f>HYPERLINK("https://investorlist.com/investor/xseed-partners-95315072?ref=Excel_ViewProfile","View Profile")</f>
        <v>View Profile</v>
      </c>
      <c r="B502" t="s">
        <v>4981</v>
      </c>
      <c r="C502" t="s">
        <v>19</v>
      </c>
      <c r="D502" t="s">
        <v>4982</v>
      </c>
      <c r="E502" t="s">
        <v>4983</v>
      </c>
      <c r="F502" t="s">
        <v>572</v>
      </c>
      <c r="G502" t="s">
        <v>4984</v>
      </c>
      <c r="H502" t="s">
        <v>4985</v>
      </c>
      <c r="I502" t="s">
        <v>4986</v>
      </c>
      <c r="J502" t="s">
        <v>4987</v>
      </c>
      <c r="K502" t="s">
        <v>4988</v>
      </c>
      <c r="L502">
        <v>2015</v>
      </c>
      <c r="M502" t="s">
        <v>600</v>
      </c>
      <c r="N502" t="s">
        <v>19</v>
      </c>
      <c r="O502" t="s">
        <v>177</v>
      </c>
      <c r="P502" t="s">
        <v>1552</v>
      </c>
      <c r="Q502" t="s">
        <v>4989</v>
      </c>
      <c r="R502" t="s">
        <v>4990</v>
      </c>
    </row>
    <row r="503" spans="1:18">
      <c r="A503" s="2" t="str">
        <f>HYPERLINK("https://investorlist.com/investor/genesis-alternative-ventures-19127642?ref=Excel_ViewProfile","View Profile")</f>
        <v>View Profile</v>
      </c>
      <c r="B503" t="s">
        <v>4991</v>
      </c>
      <c r="C503" t="s">
        <v>136</v>
      </c>
      <c r="D503" t="s">
        <v>4992</v>
      </c>
      <c r="E503" t="s">
        <v>38</v>
      </c>
      <c r="F503" t="s">
        <v>210</v>
      </c>
      <c r="G503" t="s">
        <v>4993</v>
      </c>
      <c r="H503" t="s">
        <v>4994</v>
      </c>
      <c r="I503" t="s">
        <v>1405</v>
      </c>
      <c r="J503" t="s">
        <v>4995</v>
      </c>
      <c r="K503" t="s">
        <v>4996</v>
      </c>
      <c r="L503" t="s">
        <v>38</v>
      </c>
      <c r="M503" t="s">
        <v>737</v>
      </c>
      <c r="N503" t="s">
        <v>119</v>
      </c>
      <c r="O503" t="s">
        <v>4997</v>
      </c>
      <c r="P503" t="s">
        <v>1634</v>
      </c>
      <c r="Q503" t="s">
        <v>38</v>
      </c>
      <c r="R503" t="s">
        <v>38</v>
      </c>
    </row>
    <row r="504" spans="1:18">
      <c r="A504" s="2" t="str">
        <f>HYPERLINK("https://investorlist.com/investor/the-hive-southeast-asia-fund-i?ref=Excel_ViewProfile","View Profile")</f>
        <v>View Profile</v>
      </c>
      <c r="B504" t="s">
        <v>4998</v>
      </c>
      <c r="C504" t="s">
        <v>19</v>
      </c>
      <c r="D504" t="s">
        <v>4999</v>
      </c>
      <c r="E504" t="s">
        <v>1533</v>
      </c>
      <c r="F504" t="s">
        <v>253</v>
      </c>
      <c r="G504" t="s">
        <v>5000</v>
      </c>
      <c r="H504" t="s">
        <v>5001</v>
      </c>
      <c r="I504" t="s">
        <v>5002</v>
      </c>
      <c r="J504" t="s">
        <v>5003</v>
      </c>
      <c r="K504" t="s">
        <v>5004</v>
      </c>
      <c r="L504">
        <v>2020</v>
      </c>
      <c r="M504" t="s">
        <v>64</v>
      </c>
      <c r="N504" t="s">
        <v>19</v>
      </c>
      <c r="O504" t="s">
        <v>177</v>
      </c>
      <c r="P504" t="s">
        <v>2421</v>
      </c>
      <c r="Q504" t="s">
        <v>5005</v>
      </c>
      <c r="R504" t="s">
        <v>5006</v>
      </c>
    </row>
    <row r="505" spans="1:18">
      <c r="A505" s="2" t="str">
        <f>HYPERLINK("https://investorlist.com/investor/earth-venture-capital-63918646?ref=Excel_ViewProfile","View Profile")</f>
        <v>View Profile</v>
      </c>
      <c r="B505" t="s">
        <v>5007</v>
      </c>
      <c r="C505" t="s">
        <v>19</v>
      </c>
      <c r="D505" t="s">
        <v>38</v>
      </c>
      <c r="E505" t="s">
        <v>38</v>
      </c>
      <c r="F505" t="s">
        <v>1775</v>
      </c>
      <c r="G505" t="s">
        <v>5008</v>
      </c>
      <c r="H505" t="s">
        <v>5009</v>
      </c>
      <c r="I505" t="s">
        <v>5010</v>
      </c>
      <c r="J505" t="s">
        <v>38</v>
      </c>
      <c r="K505" t="s">
        <v>5011</v>
      </c>
      <c r="L505">
        <v>2021</v>
      </c>
      <c r="M505" t="s">
        <v>600</v>
      </c>
      <c r="N505" t="s">
        <v>1418</v>
      </c>
      <c r="O505" t="s">
        <v>5012</v>
      </c>
      <c r="P505" t="s">
        <v>1634</v>
      </c>
      <c r="Q505" t="s">
        <v>5013</v>
      </c>
      <c r="R505" t="s">
        <v>5014</v>
      </c>
    </row>
    <row r="506" spans="1:18">
      <c r="A506" s="2" t="str">
        <f>HYPERLINK("https://investorlist.com/investor/raisewell-ventures?ref=Excel_ViewProfile","View Profile")</f>
        <v>View Profile</v>
      </c>
      <c r="B506" t="s">
        <v>5015</v>
      </c>
      <c r="C506" t="s">
        <v>19</v>
      </c>
      <c r="D506" t="s">
        <v>5016</v>
      </c>
      <c r="E506" t="s">
        <v>312</v>
      </c>
      <c r="F506" t="s">
        <v>198</v>
      </c>
      <c r="G506" t="s">
        <v>5017</v>
      </c>
      <c r="H506" t="s">
        <v>5018</v>
      </c>
      <c r="I506" t="s">
        <v>5019</v>
      </c>
      <c r="J506" t="s">
        <v>38</v>
      </c>
      <c r="K506" t="s">
        <v>5020</v>
      </c>
      <c r="L506">
        <v>2024</v>
      </c>
      <c r="M506" t="s">
        <v>52</v>
      </c>
      <c r="N506" t="s">
        <v>19</v>
      </c>
      <c r="O506" t="s">
        <v>5021</v>
      </c>
      <c r="P506" t="s">
        <v>3874</v>
      </c>
      <c r="Q506" t="s">
        <v>5022</v>
      </c>
      <c r="R506" t="s">
        <v>5023</v>
      </c>
    </row>
    <row r="507" spans="1:18">
      <c r="A507" s="2" t="str">
        <f>HYPERLINK("https://investorlist.com/investor/adaverse-48474110?ref=Excel_ViewProfile","View Profile")</f>
        <v>View Profile</v>
      </c>
      <c r="B507" t="s">
        <v>5024</v>
      </c>
      <c r="C507" t="s">
        <v>19</v>
      </c>
      <c r="D507" t="s">
        <v>2643</v>
      </c>
      <c r="E507" t="s">
        <v>38</v>
      </c>
      <c r="F507" t="s">
        <v>301</v>
      </c>
      <c r="G507" t="s">
        <v>5025</v>
      </c>
      <c r="H507" t="s">
        <v>5026</v>
      </c>
      <c r="I507" t="s">
        <v>5027</v>
      </c>
      <c r="J507" t="s">
        <v>38</v>
      </c>
      <c r="K507" t="s">
        <v>5028</v>
      </c>
      <c r="L507">
        <v>2021</v>
      </c>
      <c r="M507" t="s">
        <v>107</v>
      </c>
      <c r="N507" t="s">
        <v>487</v>
      </c>
      <c r="O507" t="s">
        <v>5029</v>
      </c>
      <c r="P507" t="s">
        <v>5030</v>
      </c>
      <c r="Q507" t="s">
        <v>5031</v>
      </c>
      <c r="R507" t="s">
        <v>5032</v>
      </c>
    </row>
    <row r="508" spans="1:18">
      <c r="A508" s="2" t="str">
        <f>HYPERLINK("https://investorlist.com/investor/jay-chi?ref=Excel_ViewProfile","View Profile")</f>
        <v>View Profile</v>
      </c>
      <c r="B508" t="s">
        <v>5033</v>
      </c>
      <c r="C508" t="s">
        <v>19</v>
      </c>
      <c r="D508" t="s">
        <v>2324</v>
      </c>
      <c r="E508" t="s">
        <v>38</v>
      </c>
      <c r="F508" t="s">
        <v>784</v>
      </c>
      <c r="G508" t="s">
        <v>5034</v>
      </c>
      <c r="H508" t="s">
        <v>5035</v>
      </c>
      <c r="I508" t="s">
        <v>5036</v>
      </c>
      <c r="J508" t="s">
        <v>38</v>
      </c>
      <c r="K508" t="s">
        <v>5037</v>
      </c>
      <c r="L508">
        <v>2017</v>
      </c>
      <c r="M508" t="s">
        <v>87</v>
      </c>
      <c r="N508" t="s">
        <v>19</v>
      </c>
      <c r="O508" t="s">
        <v>5038</v>
      </c>
      <c r="P508" t="s">
        <v>5039</v>
      </c>
      <c r="Q508" t="s">
        <v>5040</v>
      </c>
      <c r="R508" t="s">
        <v>5041</v>
      </c>
    </row>
    <row r="509" spans="1:18">
      <c r="A509" s="2" t="str">
        <f>HYPERLINK("https://investorlist.com/investor/systema-vc?ref=Excel_ViewProfile","View Profile")</f>
        <v>View Profile</v>
      </c>
      <c r="B509" t="s">
        <v>5042</v>
      </c>
      <c r="C509" t="s">
        <v>19</v>
      </c>
      <c r="D509" t="s">
        <v>38</v>
      </c>
      <c r="E509" t="s">
        <v>38</v>
      </c>
      <c r="F509" t="s">
        <v>360</v>
      </c>
      <c r="G509" t="s">
        <v>5043</v>
      </c>
      <c r="H509" t="s">
        <v>38</v>
      </c>
      <c r="I509" t="s">
        <v>5044</v>
      </c>
      <c r="J509" t="s">
        <v>38</v>
      </c>
      <c r="K509" t="s">
        <v>5045</v>
      </c>
      <c r="L509">
        <v>0</v>
      </c>
      <c r="M509" t="s">
        <v>97</v>
      </c>
      <c r="N509" t="s">
        <v>19</v>
      </c>
      <c r="O509" t="s">
        <v>5046</v>
      </c>
      <c r="P509" t="s">
        <v>5047</v>
      </c>
      <c r="Q509" t="s">
        <v>110</v>
      </c>
      <c r="R509" t="s">
        <v>38</v>
      </c>
    </row>
    <row r="510" spans="1:18">
      <c r="A510" s="2" t="str">
        <f>HYPERLINK("https://investorlist.com/investor/jacob-kurian?ref=Excel_ViewProfile","View Profile")</f>
        <v>View Profile</v>
      </c>
      <c r="B510" t="s">
        <v>5048</v>
      </c>
      <c r="C510" t="s">
        <v>181</v>
      </c>
      <c r="D510" t="s">
        <v>5049</v>
      </c>
      <c r="E510" t="s">
        <v>1329</v>
      </c>
      <c r="F510" t="s">
        <v>572</v>
      </c>
      <c r="G510" t="s">
        <v>5050</v>
      </c>
      <c r="H510" t="s">
        <v>38</v>
      </c>
      <c r="I510" t="s">
        <v>5051</v>
      </c>
      <c r="J510" t="s">
        <v>38</v>
      </c>
      <c r="K510" t="s">
        <v>5052</v>
      </c>
      <c r="L510">
        <v>2006</v>
      </c>
      <c r="M510" t="s">
        <v>537</v>
      </c>
      <c r="N510" t="s">
        <v>217</v>
      </c>
      <c r="O510" t="s">
        <v>5053</v>
      </c>
      <c r="P510" t="s">
        <v>5054</v>
      </c>
      <c r="Q510" t="s">
        <v>5055</v>
      </c>
      <c r="R510" t="s">
        <v>5056</v>
      </c>
    </row>
    <row r="511" spans="1:18">
      <c r="A511" s="2" t="str">
        <f>HYPERLINK("https://investorlist.com/investor/mandala-capital?ref=Excel_ViewProfile","View Profile")</f>
        <v>View Profile</v>
      </c>
      <c r="B511" t="s">
        <v>5057</v>
      </c>
      <c r="C511" t="s">
        <v>136</v>
      </c>
      <c r="D511" t="s">
        <v>5058</v>
      </c>
      <c r="E511" t="s">
        <v>38</v>
      </c>
      <c r="F511" t="s">
        <v>3632</v>
      </c>
      <c r="G511" t="s">
        <v>5059</v>
      </c>
      <c r="H511" t="s">
        <v>5060</v>
      </c>
      <c r="I511" t="s">
        <v>5061</v>
      </c>
      <c r="J511" t="s">
        <v>5062</v>
      </c>
      <c r="K511" t="s">
        <v>5063</v>
      </c>
      <c r="L511">
        <v>0</v>
      </c>
      <c r="M511" t="s">
        <v>1539</v>
      </c>
      <c r="N511" t="s">
        <v>181</v>
      </c>
      <c r="O511" t="s">
        <v>5064</v>
      </c>
      <c r="P511" t="s">
        <v>5065</v>
      </c>
      <c r="Q511" t="s">
        <v>5066</v>
      </c>
      <c r="R511" t="s">
        <v>38</v>
      </c>
    </row>
    <row r="512" spans="1:18">
      <c r="A512" s="2" t="str">
        <f>HYPERLINK("https://investorlist.com/investor/k3-diversity-ventures?ref=Excel_ViewProfile","View Profile")</f>
        <v>View Profile</v>
      </c>
      <c r="B512" t="s">
        <v>5067</v>
      </c>
      <c r="C512" t="s">
        <v>19</v>
      </c>
      <c r="D512" t="s">
        <v>5068</v>
      </c>
      <c r="E512" t="s">
        <v>312</v>
      </c>
      <c r="F512" t="s">
        <v>198</v>
      </c>
      <c r="G512" t="s">
        <v>5069</v>
      </c>
      <c r="H512" t="s">
        <v>38</v>
      </c>
      <c r="I512" t="s">
        <v>5070</v>
      </c>
      <c r="J512" t="s">
        <v>38</v>
      </c>
      <c r="K512" t="s">
        <v>5071</v>
      </c>
      <c r="L512">
        <v>2021</v>
      </c>
      <c r="M512" t="s">
        <v>5072</v>
      </c>
      <c r="N512" t="s">
        <v>19</v>
      </c>
      <c r="O512" t="s">
        <v>5073</v>
      </c>
      <c r="P512" t="s">
        <v>5074</v>
      </c>
      <c r="Q512" t="s">
        <v>5075</v>
      </c>
      <c r="R512" t="s">
        <v>5076</v>
      </c>
    </row>
    <row r="513" spans="1:18">
      <c r="A513" s="2" t="str">
        <f>HYPERLINK("https://investorlist.com/investor/mulia-sky-capital?ref=Excel_ViewProfile","View Profile")</f>
        <v>View Profile</v>
      </c>
      <c r="B513" t="s">
        <v>5077</v>
      </c>
      <c r="C513" t="s">
        <v>19</v>
      </c>
      <c r="D513" t="s">
        <v>5078</v>
      </c>
      <c r="E513" t="s">
        <v>38</v>
      </c>
      <c r="F513" t="s">
        <v>210</v>
      </c>
      <c r="G513" t="s">
        <v>5079</v>
      </c>
      <c r="H513" t="s">
        <v>38</v>
      </c>
      <c r="I513" t="s">
        <v>5080</v>
      </c>
      <c r="J513" t="s">
        <v>38</v>
      </c>
      <c r="K513" t="s">
        <v>5081</v>
      </c>
      <c r="L513">
        <v>2021</v>
      </c>
      <c r="M513" t="s">
        <v>5082</v>
      </c>
      <c r="N513" t="s">
        <v>19</v>
      </c>
      <c r="O513" t="s">
        <v>5083</v>
      </c>
      <c r="P513" t="s">
        <v>1899</v>
      </c>
      <c r="Q513" t="s">
        <v>5084</v>
      </c>
      <c r="R513" t="s">
        <v>5085</v>
      </c>
    </row>
    <row r="514" spans="1:18">
      <c r="A514" s="2" t="str">
        <f>HYPERLINK("https://investorlist.com/investor/alphagen-venture-capital?ref=Excel_ViewProfile","View Profile")</f>
        <v>View Profile</v>
      </c>
      <c r="B514" t="s">
        <v>5086</v>
      </c>
      <c r="C514" t="s">
        <v>19</v>
      </c>
      <c r="D514" t="s">
        <v>5087</v>
      </c>
      <c r="E514" t="s">
        <v>606</v>
      </c>
      <c r="F514" t="s">
        <v>210</v>
      </c>
      <c r="G514" t="s">
        <v>5088</v>
      </c>
      <c r="H514" t="s">
        <v>5089</v>
      </c>
      <c r="I514" t="s">
        <v>5090</v>
      </c>
      <c r="J514" t="s">
        <v>5091</v>
      </c>
      <c r="K514" t="s">
        <v>5092</v>
      </c>
      <c r="L514">
        <v>2023</v>
      </c>
      <c r="M514" t="s">
        <v>600</v>
      </c>
      <c r="N514" t="s">
        <v>19</v>
      </c>
      <c r="O514" t="s">
        <v>5093</v>
      </c>
      <c r="P514" t="s">
        <v>2824</v>
      </c>
      <c r="Q514" t="s">
        <v>5094</v>
      </c>
      <c r="R514" t="s">
        <v>5095</v>
      </c>
    </row>
    <row r="515" spans="1:18">
      <c r="A515" s="2" t="str">
        <f>HYPERLINK("https://investorlist.com/investor/tembusu-ict-fund-i?ref=Excel_ViewProfile","View Profile")</f>
        <v>View Profile</v>
      </c>
      <c r="B515" t="s">
        <v>5096</v>
      </c>
      <c r="C515" t="s">
        <v>19</v>
      </c>
      <c r="D515" t="s">
        <v>5097</v>
      </c>
      <c r="E515" t="s">
        <v>606</v>
      </c>
      <c r="F515" t="s">
        <v>210</v>
      </c>
      <c r="G515" t="s">
        <v>5098</v>
      </c>
      <c r="H515" t="s">
        <v>38</v>
      </c>
      <c r="I515" t="s">
        <v>3197</v>
      </c>
      <c r="J515" t="s">
        <v>3198</v>
      </c>
      <c r="K515" t="s">
        <v>5099</v>
      </c>
      <c r="L515">
        <v>2015</v>
      </c>
      <c r="M515" t="s">
        <v>737</v>
      </c>
      <c r="N515" t="s">
        <v>19</v>
      </c>
      <c r="O515" t="s">
        <v>5100</v>
      </c>
      <c r="P515" t="s">
        <v>3203</v>
      </c>
      <c r="Q515" t="s">
        <v>5101</v>
      </c>
      <c r="R515" t="s">
        <v>5102</v>
      </c>
    </row>
    <row r="516" spans="1:18">
      <c r="A516" s="2" t="str">
        <f>HYPERLINK("https://investorlist.com/investor/humania-capital?ref=Excel_ViewProfile","View Profile")</f>
        <v>View Profile</v>
      </c>
      <c r="B516" t="s">
        <v>5103</v>
      </c>
      <c r="C516" t="s">
        <v>181</v>
      </c>
      <c r="D516" t="s">
        <v>5104</v>
      </c>
      <c r="E516" t="s">
        <v>71</v>
      </c>
      <c r="F516" t="s">
        <v>22</v>
      </c>
      <c r="G516" t="s">
        <v>5105</v>
      </c>
      <c r="H516" t="s">
        <v>5106</v>
      </c>
      <c r="I516" t="s">
        <v>5107</v>
      </c>
      <c r="J516" t="s">
        <v>5108</v>
      </c>
      <c r="K516" t="s">
        <v>5109</v>
      </c>
      <c r="L516">
        <v>2017</v>
      </c>
      <c r="M516" t="s">
        <v>118</v>
      </c>
      <c r="N516" t="s">
        <v>217</v>
      </c>
      <c r="O516" t="s">
        <v>5110</v>
      </c>
      <c r="P516" t="s">
        <v>5111</v>
      </c>
      <c r="Q516" t="s">
        <v>5112</v>
      </c>
      <c r="R516" t="s">
        <v>5113</v>
      </c>
    </row>
    <row r="517" spans="1:18">
      <c r="A517" s="2" t="str">
        <f>HYPERLINK("https://investorlist.com/investor/strive-49890439?ref=Excel_ViewProfile","View Profile")</f>
        <v>View Profile</v>
      </c>
      <c r="B517" t="s">
        <v>2558</v>
      </c>
      <c r="C517" t="s">
        <v>19</v>
      </c>
      <c r="D517" t="s">
        <v>2324</v>
      </c>
      <c r="E517" t="s">
        <v>38</v>
      </c>
      <c r="F517" t="s">
        <v>784</v>
      </c>
      <c r="G517" t="s">
        <v>5114</v>
      </c>
      <c r="H517" t="s">
        <v>5115</v>
      </c>
      <c r="I517" t="s">
        <v>38</v>
      </c>
      <c r="J517" t="s">
        <v>38</v>
      </c>
      <c r="K517" t="s">
        <v>5116</v>
      </c>
      <c r="L517">
        <v>2011</v>
      </c>
      <c r="M517" t="s">
        <v>64</v>
      </c>
      <c r="N517" t="s">
        <v>19</v>
      </c>
      <c r="O517" t="s">
        <v>5117</v>
      </c>
      <c r="P517" t="s">
        <v>1269</v>
      </c>
      <c r="Q517" t="s">
        <v>5118</v>
      </c>
      <c r="R517" t="s">
        <v>5119</v>
      </c>
    </row>
    <row r="518" spans="1:18">
      <c r="A518" s="2" t="str">
        <f>HYPERLINK("https://investorlist.com/investor/kit-investor-indonesia?ref=Excel_ViewProfile","View Profile")</f>
        <v>View Profile</v>
      </c>
      <c r="B518" t="s">
        <v>5120</v>
      </c>
      <c r="C518" t="s">
        <v>19</v>
      </c>
      <c r="D518" t="s">
        <v>38</v>
      </c>
      <c r="E518" t="s">
        <v>38</v>
      </c>
      <c r="F518" t="s">
        <v>718</v>
      </c>
      <c r="G518" t="s">
        <v>5121</v>
      </c>
      <c r="H518" t="s">
        <v>38</v>
      </c>
      <c r="I518" t="s">
        <v>5122</v>
      </c>
      <c r="J518" t="s">
        <v>5123</v>
      </c>
      <c r="K518" t="s">
        <v>5124</v>
      </c>
      <c r="L518">
        <v>2020</v>
      </c>
      <c r="M518" t="s">
        <v>737</v>
      </c>
      <c r="N518" t="s">
        <v>19</v>
      </c>
      <c r="O518" t="s">
        <v>5125</v>
      </c>
      <c r="P518" t="s">
        <v>1552</v>
      </c>
      <c r="Q518" t="s">
        <v>5126</v>
      </c>
      <c r="R518" t="s">
        <v>5127</v>
      </c>
    </row>
    <row r="519" spans="1:18">
      <c r="A519" s="2" t="str">
        <f>HYPERLINK("https://investorlist.com/investor/n-a-42227855?ref=Excel_ViewProfile","View Profile")</f>
        <v>View Profile</v>
      </c>
      <c r="B519" t="s">
        <v>5128</v>
      </c>
      <c r="C519" t="s">
        <v>19</v>
      </c>
      <c r="D519" t="s">
        <v>5129</v>
      </c>
      <c r="E519" t="s">
        <v>38</v>
      </c>
      <c r="F519" t="s">
        <v>2443</v>
      </c>
      <c r="G519" t="s">
        <v>5130</v>
      </c>
      <c r="H519" t="s">
        <v>38</v>
      </c>
      <c r="I519" t="s">
        <v>5131</v>
      </c>
      <c r="J519" t="s">
        <v>38</v>
      </c>
      <c r="K519" t="s">
        <v>5132</v>
      </c>
      <c r="L519" t="s">
        <v>38</v>
      </c>
      <c r="M519" t="s">
        <v>863</v>
      </c>
      <c r="N519" t="s">
        <v>19</v>
      </c>
      <c r="O519" t="s">
        <v>1152</v>
      </c>
      <c r="P519" t="s">
        <v>5133</v>
      </c>
      <c r="Q519" t="s">
        <v>38</v>
      </c>
      <c r="R519" t="s">
        <v>38</v>
      </c>
    </row>
    <row r="520" spans="1:18">
      <c r="A520" s="2" t="str">
        <f>HYPERLINK("https://investorlist.com/investor/solve-innovation-future?ref=Excel_ViewProfile","View Profile")</f>
        <v>View Profile</v>
      </c>
      <c r="B520" t="s">
        <v>5134</v>
      </c>
      <c r="C520" t="s">
        <v>19</v>
      </c>
      <c r="D520" t="s">
        <v>5135</v>
      </c>
      <c r="E520" t="s">
        <v>2098</v>
      </c>
      <c r="F520" t="s">
        <v>198</v>
      </c>
      <c r="G520" t="s">
        <v>5136</v>
      </c>
      <c r="H520" t="s">
        <v>38</v>
      </c>
      <c r="I520" t="s">
        <v>5137</v>
      </c>
      <c r="J520" t="s">
        <v>38</v>
      </c>
      <c r="K520" t="s">
        <v>5138</v>
      </c>
      <c r="L520">
        <v>2020</v>
      </c>
      <c r="M520" t="s">
        <v>863</v>
      </c>
      <c r="N520" t="s">
        <v>19</v>
      </c>
      <c r="O520" t="s">
        <v>5139</v>
      </c>
      <c r="P520" t="s">
        <v>5140</v>
      </c>
      <c r="Q520" t="s">
        <v>5141</v>
      </c>
      <c r="R520" t="s">
        <v>5142</v>
      </c>
    </row>
  </sheetData>
  <pageMargins left="0.5" right="0.5" top="1" bottom="1" header="0.5" footer="0.5"/>
  <pageSetup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5"/>
  <sheetViews>
    <sheetView tabSelected="1" workbookViewId="0"/>
  </sheetViews>
  <sheetFormatPr defaultRowHeight="15"/>
  <cols>
    <col min="1" max="1" width="8.85546875" style="2"/>
  </cols>
  <sheetData>
    <row r="1" spans="1:1">
      <c r="A1" s="3" t="s">
        <v>5143</v>
      </c>
    </row>
    <row r="2" spans="1:1">
      <c r="A2" s="2" t="str">
        <f>HYPERLINK("https://investorlist.com/list/indian-investors?ref=Excel_OtherLists","855 Indian Investors")</f>
        <v>855 Indian Investors</v>
      </c>
    </row>
    <row r="3" spans="1:1">
      <c r="A3" s="2" t="str">
        <f>HYPERLINK("https://investorlist.com/list/karachi-based-investors?ref=Excel_OtherLists","25 Karachi Based Investors")</f>
        <v>25 Karachi Based Investors</v>
      </c>
    </row>
    <row r="4" spans="1:1">
      <c r="A4" s="2" t="str">
        <f>HYPERLINK("https://investorlist.com/list/fintech-investors-in-india?ref=Excel_OtherLists","221 Fintech Investors in India")</f>
        <v>221 Fintech Investors in India</v>
      </c>
    </row>
    <row r="5" spans="1:1">
      <c r="A5" s="2" t="str">
        <f>HYPERLINK("https://investorlist.com/list/investors-focused-on-nepal?ref=Excel_OtherLists","261 Investors Focused on Nepal")</f>
        <v>261 Investors Focused on Nepal</v>
      </c>
    </row>
    <row r="6" spans="1:1">
      <c r="A6" s="2" t="str">
        <f>HYPERLINK("https://investorlist.com/list/investors-focused-on-bangladesh?ref=Excel_OtherLists","426 Investors Focused on Bangladesh")</f>
        <v>426 Investors Focused on Bangladesh</v>
      </c>
    </row>
    <row r="7" spans="1:1">
      <c r="A7" s="2" t="str">
        <f>HYPERLINK("https://investorlist.com/list/investors-focused-on-sri-lanka?ref=Excel_OtherLists","303 Investors Focused on Sri Lanka")</f>
        <v>303 Investors Focused on Sri Lanka</v>
      </c>
    </row>
    <row r="8" spans="1:1">
      <c r="A8" s="2" t="str">
        <f>HYPERLINK("https://investorlist.com/list/investors-focused-on-nepal?ref=Excel_OtherLists","261 Investors Focused on Nepal")</f>
        <v>261 Investors Focused on Nepal</v>
      </c>
    </row>
    <row r="9" spans="1:1">
      <c r="A9" s="2" t="str">
        <f>HYPERLINK("https://investorlist.com/list/investors-focused-on-azerbaijan?ref=Excel_OtherLists","89 Investors Focused on Azerbaijan")</f>
        <v>89 Investors Focused on Azerbaijan</v>
      </c>
    </row>
    <row r="10" spans="1:1">
      <c r="A10" s="2" t="str">
        <f>HYPERLINK("https://investorlist.com/list/investors-focused-on-armenia?ref=Excel_OtherLists","95 Investors Focused on Armenia")</f>
        <v>95 Investors Focused on Armenia</v>
      </c>
    </row>
    <row r="11" spans="1:1">
      <c r="A11" s="2" t="str">
        <f>HYPERLINK("https://investorlist.com/list/pakistan-investors?ref=Excel_OtherLists","38 Pakistan investors")</f>
        <v>38 Pakistan investors</v>
      </c>
    </row>
    <row r="12" spans="1:1">
      <c r="A12" s="2" t="str">
        <f>HYPERLINK("https://investorlist.com/list/seed-and-pre-seed-investors?ref=Excel_OtherLists","15,658 Seed and Pre-Seed Investors")</f>
        <v>15,658 Seed and Pre-Seed Investors</v>
      </c>
    </row>
    <row r="13" spans="1:1">
      <c r="A13" s="2" t="str">
        <f>HYPERLINK("https://investorlist.com/list/investors-focused-on-turkey?ref=Excel_OtherLists","1,007 Investors Focused on Turkey")</f>
        <v>1,007 Investors Focused on Turkey</v>
      </c>
    </row>
    <row r="14" spans="1:1">
      <c r="A14" s="2" t="str">
        <f>HYPERLINK("https://investorlist.com/list/investors-focused-on-the-philippines?ref=Excel_OtherLists","954 Investors Focused on the Philippines")</f>
        <v>954 Investors Focused on the Philippines</v>
      </c>
    </row>
    <row r="15" spans="1:1">
      <c r="A15" s="2" t="str">
        <f>HYPERLINK("https://investorlist.com/list/investors-focused-on-singapore?ref=Excel_OtherLists","3,511 Investors Focused on Singapore")</f>
        <v>3,511 Investors Focused on Singapore</v>
      </c>
    </row>
    <row r="16" spans="1:1">
      <c r="A16" s="2" t="str">
        <f>HYPERLINK("https://investorlist.com/list/investors-focused-on-malaysia?ref=Excel_OtherLists","1,238 Investors Focused on Malaysia")</f>
        <v>1,238 Investors Focused on Malaysia</v>
      </c>
    </row>
    <row r="17" spans="1:1">
      <c r="A17" s="2" t="str">
        <f>HYPERLINK("https://investorlist.com/list/investors-focused-on-thailand?ref=Excel_OtherLists","1,056 Investors Focused on Thailand")</f>
        <v>1,056 Investors Focused on Thailand</v>
      </c>
    </row>
    <row r="18" spans="1:1">
      <c r="A18" s="2" t="str">
        <f>HYPERLINK("https://investorlist.com/list/early-stage-investors?ref=Excel_OtherLists","1,652 Early Stage Investors")</f>
        <v>1,652 Early Stage Investors</v>
      </c>
    </row>
    <row r="19" spans="1:1">
      <c r="A19" s="2" t="str">
        <f>HYPERLINK("https://investorlist.com/list/pre-seed-investors-globally?ref=Excel_OtherLists","3,603 Pre-Seed Investors (Globally)")</f>
        <v>3,603 Pre-Seed Investors (Globally)</v>
      </c>
    </row>
    <row r="20" spans="1:1">
      <c r="A20" s="2" t="str">
        <f>HYPERLINK("https://investorlist.com/list/indian-healthcare-investors?ref=Excel_OtherLists","2,102 Indian Healthcare Investors")</f>
        <v>2,102 Indian Healthcare Investors</v>
      </c>
    </row>
    <row r="21" spans="1:1">
      <c r="A21" s="2" t="str">
        <f>HYPERLINK("https://investorlist.com/list/indian-startup-investors?ref=Excel_OtherLists","746 Indian Startup Investors")</f>
        <v>746 Indian Startup Investors</v>
      </c>
    </row>
    <row r="22" spans="1:1">
      <c r="A22" s="2" t="str">
        <f>HYPERLINK("https://investorlist.com/list/indian-saas-investors?ref=Excel_OtherLists","209 Indian SaaS Investors")</f>
        <v>209 Indian SaaS Investors</v>
      </c>
    </row>
    <row r="23" spans="1:1">
      <c r="A23" s="2" t="str">
        <f>HYPERLINK("https://investorlist.com/list/indian-artificial-intelligence-investors?ref=Excel_OtherLists","424 Indian Artificial Intelligence Investors")</f>
        <v>424 Indian Artificial Intelligence Investors</v>
      </c>
    </row>
    <row r="24" spans="1:1">
      <c r="A24" s="2" t="str">
        <f>HYPERLINK("https://investorlist.com/list/indian-cybersecurity-investors?ref=Excel_OtherLists","188 Indian Cybersecurity Investors")</f>
        <v>188 Indian Cybersecurity Investors</v>
      </c>
    </row>
    <row r="25" spans="1:1">
      <c r="A25" s="2" t="str">
        <f>HYPERLINK("https://investorlist.com/list/indian-hospitality-investors?ref=Excel_OtherLists","466 Indian Hospitality Investors")</f>
        <v>466 Indian Hospitality Investors</v>
      </c>
    </row>
    <row r="26" spans="1:1">
      <c r="A26" s="2" t="str">
        <f>HYPERLINK("https://investorlist.com/list/indian-agriculture-investors?ref=Excel_OtherLists","903 Indian Agriculture Investors")</f>
        <v>903 Indian Agriculture Investors</v>
      </c>
    </row>
    <row r="27" spans="1:1">
      <c r="A27" s="2" t="str">
        <f>HYPERLINK("https://investorlist.com/list/indian-retail-investors?ref=Excel_OtherLists","1,029 Indian Retail Investors")</f>
        <v>1,029 Indian Retail Investors</v>
      </c>
    </row>
    <row r="28" spans="1:1">
      <c r="A28" s="2" t="str">
        <f>HYPERLINK("https://investorlist.com/list/indian-technology-investors?ref=Excel_OtherLists","3,242 Indian Technology Investors")</f>
        <v>3,242 Indian Technology Investors</v>
      </c>
    </row>
    <row r="29" spans="1:1">
      <c r="A29" s="2" t="str">
        <f>HYPERLINK("https://investorlist.com/list/nigeria-based-investors?ref=Excel_OtherLists","116 Nigeria-based Investors")</f>
        <v>116 Nigeria-based Investors</v>
      </c>
    </row>
    <row r="30" spans="1:1">
      <c r="A30" s="2" t="str">
        <f>HYPERLINK("https://investorlist.com/list/uganda-investors?ref=Excel_OtherLists","95 Uganda Investors")</f>
        <v>95 Uganda Investors</v>
      </c>
    </row>
    <row r="31" spans="1:1">
      <c r="A31" s="2" t="str">
        <f>HYPERLINK("https://investorlist.com/list/uae-investors?ref=Excel_OtherLists","455 UAE Investors")</f>
        <v>455 UAE Investors</v>
      </c>
    </row>
    <row r="32" spans="1:1">
      <c r="A32" s="2" t="str">
        <f>HYPERLINK("https://investorlist.com/list/kenya-investors?ref=Excel_OtherLists","78 Kenya Investors")</f>
        <v>78 Kenya Investors</v>
      </c>
    </row>
    <row r="33" spans="1:1">
      <c r="A33" s="2" t="str">
        <f>HYPERLINK("https://investorlist.com/list/turkey-based-investors?ref=Excel_OtherLists","156 Turkey Based Investors")</f>
        <v>156 Turkey Based Investors</v>
      </c>
    </row>
    <row r="34" spans="1:1">
      <c r="A34" s="2" t="str">
        <f>HYPERLINK("https://investorlist.com/list/ghana-based-investors?ref=Excel_OtherLists","34 Ghana Based Investors")</f>
        <v>34 Ghana Based Investors</v>
      </c>
    </row>
    <row r="35" spans="1:1">
      <c r="A35" s="2" t="str">
        <f>HYPERLINK("https://investorlist.com/list/uk-based-investors?ref=Excel_OtherLists","1,194 UK Based Investors")</f>
        <v>1,194 UK Based Investors</v>
      </c>
    </row>
    <row r="36" spans="1:1">
      <c r="A36" s="2" t="str">
        <f>HYPERLINK("https://investorlist.com/list/us-based-investors?ref=Excel_OtherLists","9,126 US Based Investors")</f>
        <v>9,126 US Based Investors</v>
      </c>
    </row>
    <row r="37" spans="1:1">
      <c r="A37" s="2" t="str">
        <f>HYPERLINK("https://investorlist.com/list/indonesian-investors?ref=Excel_OtherLists","79 Indonesian Investors")</f>
        <v>79 Indonesian Investors</v>
      </c>
    </row>
    <row r="38" spans="1:1">
      <c r="A38" s="2" t="str">
        <f>HYPERLINK("https://investorlist.com/list/bangladesh-based-investors?ref=Excel_OtherLists","30 Bangladesh Based Investors")</f>
        <v>30 Bangladesh Based Investors</v>
      </c>
    </row>
    <row r="39" spans="1:1">
      <c r="A39" s="2" t="str">
        <f>HYPERLINK("https://investorlist.com/list/algerian-investors?ref=Excel_OtherLists","318 Algerian Investors")</f>
        <v>318 Algerian Investors</v>
      </c>
    </row>
    <row r="40" spans="1:1">
      <c r="A40" s="2" t="str">
        <f>HYPERLINK("https://investorlist.com/list/malawi-investors?ref=Excel_OtherLists","244 Malawi Investors")</f>
        <v>244 Malawi Investors</v>
      </c>
    </row>
    <row r="41" spans="1:1">
      <c r="A41" s="2" t="str">
        <f>HYPERLINK("https://investorlist.com/list/mena-investors?ref=Excel_OtherLists","1,226 MENA Investors")</f>
        <v>1,226 MENA Investors</v>
      </c>
    </row>
    <row r="42" spans="1:1">
      <c r="A42" s="2" t="str">
        <f>HYPERLINK("https://investorlist.com/list/transport-and-mobility-investors?ref=Excel_OtherLists","3,942 Transport and Mobility Investors")</f>
        <v>3,942 Transport and Mobility Investors</v>
      </c>
    </row>
    <row r="43" spans="1:1">
      <c r="A43" s="2" t="str">
        <f>HYPERLINK("https://investorlist.com/list/investors-focused-on-uganda?ref=Excel_OtherLists","526 Investors Focused on Uganda")</f>
        <v>526 Investors Focused on Uganda</v>
      </c>
    </row>
    <row r="44" spans="1:1">
      <c r="A44" s="2" t="str">
        <f>HYPERLINK("https://investorlist.com/list/investors-focused-on-south-sudan?ref=Excel_OtherLists","283 Investors Focused on South Sudan")</f>
        <v>283 Investors Focused on South Sudan</v>
      </c>
    </row>
    <row r="45" spans="1:1">
      <c r="A45" s="2" t="str">
        <f>HYPERLINK("https://investorlist.com/list/investors-focused-on-rwanda?ref=Excel_OtherLists","283 Investors Focused on Rwanda")</f>
        <v>283 Investors Focused on Rwanda</v>
      </c>
    </row>
    <row r="46" spans="1:1">
      <c r="A46" s="2" t="str">
        <f>HYPERLINK("https://investorlist.com/list/investors-focused-on-ghana?ref=Excel_OtherLists","466 Investors Focused on Ghana")</f>
        <v>466 Investors Focused on Ghana</v>
      </c>
    </row>
    <row r="47" spans="1:1">
      <c r="A47" s="2" t="str">
        <f>HYPERLINK("https://investorlist.com/list/investors-focused-on-cameroon?ref=Excel_OtherLists","238 Investors Focused on Cameroon")</f>
        <v>238 Investors Focused on Cameroon</v>
      </c>
    </row>
    <row r="48" spans="1:1">
      <c r="A48" s="2" t="str">
        <f>HYPERLINK("https://investorlist.com/list/investors-focused-on-mali?ref=Excel_OtherLists","336 Investors Focused on Mali")</f>
        <v>336 Investors Focused on Mali</v>
      </c>
    </row>
    <row r="49" spans="1:1">
      <c r="A49" s="2" t="str">
        <f>HYPERLINK("https://investorlist.com/list/investors-focused-on-kenya?ref=Excel_OtherLists","830 Investors Focused on Kenya")</f>
        <v>830 Investors Focused on Kenya</v>
      </c>
    </row>
    <row r="50" spans="1:1">
      <c r="A50" s="2" t="str">
        <f>HYPERLINK("https://investorlist.com/list/investors-focused-on-zambia?ref=Excel_OtherLists","321 Investors Focused on Zambia")</f>
        <v>321 Investors Focused on Zambia</v>
      </c>
    </row>
    <row r="51" spans="1:1">
      <c r="A51" s="2" t="str">
        <f>HYPERLINK("https://investorlist.com/list/investors-focused-on-tanzania?ref=Excel_OtherLists","443 Investors Focused on Tanzania")</f>
        <v>443 Investors Focused on Tanzania</v>
      </c>
    </row>
    <row r="52" spans="1:1">
      <c r="A52" s="2" t="str">
        <f>HYPERLINK("https://investorlist.com/list/investors-focused-on-zimbabwe?ref=Excel_OtherLists","259 Investors Focused on Zimbabwe")</f>
        <v>259 Investors Focused on Zimbabwe</v>
      </c>
    </row>
    <row r="53" spans="1:1">
      <c r="A53" s="2" t="str">
        <f>HYPERLINK("https://investorlist.com/list/investors-focused-on-tunisia?ref=Excel_OtherLists","304 Investors Focused on Tunisia")</f>
        <v>304 Investors Focused on Tunisia</v>
      </c>
    </row>
    <row r="54" spans="1:1">
      <c r="A54" s="2" t="str">
        <f>HYPERLINK("https://investorlist.com/list/investors-focused-on-botswana?ref=Excel_OtherLists","173 Investors Focused on Botswana")</f>
        <v>173 Investors Focused on Botswana</v>
      </c>
    </row>
    <row r="55" spans="1:1">
      <c r="A55" s="2" t="str">
        <f>HYPERLINK("https://investorlist.com/list/investors-focused-on-senegal?ref=Excel_OtherLists","210 Investors Focused on Senegal")</f>
        <v>210 Investors Focused on Senegal</v>
      </c>
    </row>
    <row r="56" spans="1:1">
      <c r="A56" s="2" t="str">
        <f>HYPERLINK("https://investorlist.com/list/investors-focused-on-malawi?ref=Excel_OtherLists","261 Investors Focused on Malawi")</f>
        <v>261 Investors Focused on Malawi</v>
      </c>
    </row>
    <row r="57" spans="1:1">
      <c r="A57" s="2" t="str">
        <f>HYPERLINK("https://investorlist.com/list/investors-focused-on-papua-new-guinea?ref=Excel_OtherLists","40 Investors Focused on Papua New Guinea")</f>
        <v>40 Investors Focused on Papua New Guinea</v>
      </c>
    </row>
    <row r="58" spans="1:1">
      <c r="A58" s="2" t="str">
        <f>HYPERLINK("https://investorlist.com/list/investors-focused-on-namibia?ref=Excel_OtherLists","167 Investors Focused on Namibia")</f>
        <v>167 Investors Focused on Namibia</v>
      </c>
    </row>
    <row r="59" spans="1:1">
      <c r="A59" s="2" t="str">
        <f>HYPERLINK("https://investorlist.com/list/investors-focused-on-congo?ref=Excel_OtherLists","169 Investors Focused on Congo")</f>
        <v>169 Investors Focused on Congo</v>
      </c>
    </row>
    <row r="60" spans="1:1">
      <c r="A60" s="2" t="str">
        <f>HYPERLINK("https://investorlist.com/list/investors-focused-on-jordan?ref=Excel_OtherLists","368 Investors Focused on Jordan")</f>
        <v>368 Investors Focused on Jordan</v>
      </c>
    </row>
    <row r="61" spans="1:1">
      <c r="A61" s="2" t="str">
        <f>HYPERLINK("https://investorlist.com/list/investors-focused-on-sierra-leone?ref=Excel_OtherLists","99 Investors Focused on Sierra Leone")</f>
        <v>99 Investors Focused on Sierra Leone</v>
      </c>
    </row>
    <row r="62" spans="1:1">
      <c r="A62" s="2" t="str">
        <f>HYPERLINK("https://investorlist.com/list/investors-focused-on-estonia?ref=Excel_OtherLists","485 Investors Focused on Estonia")</f>
        <v>485 Investors Focused on Estonia</v>
      </c>
    </row>
    <row r="63" spans="1:1">
      <c r="A63" s="2" t="str">
        <f>HYPERLINK("https://investorlist.com/list/investors-focused-on-lebanon?ref=Excel_OtherLists","337 Investors Focused on Lebanon")</f>
        <v>337 Investors Focused on Lebanon</v>
      </c>
    </row>
    <row r="64" spans="1:1">
      <c r="A64" s="2" t="str">
        <f>HYPERLINK("https://investorlist.com/list/investors-focused-on-liberia?ref=Excel_OtherLists","78 Investors Focused on Liberia")</f>
        <v>78 Investors Focused on Liberia</v>
      </c>
    </row>
    <row r="65" spans="1:1">
      <c r="A65" s="2" t="str">
        <f>HYPERLINK("https://investorlist.com/list/investors-focused-on-benin?ref=Excel_OtherLists","80 Investors Focused on Benin")</f>
        <v>80 Investors Focused on Benin</v>
      </c>
    </row>
    <row r="66" spans="1:1">
      <c r="A66" s="2" t="str">
        <f>HYPERLINK("https://investorlist.com/list/investors-focused-on-lesotho?ref=Excel_OtherLists","108 Investors Focused on Lesotho")</f>
        <v>108 Investors Focused on Lesotho</v>
      </c>
    </row>
    <row r="67" spans="1:1">
      <c r="A67" s="2" t="str">
        <f>HYPERLINK("https://investorlist.com/list/investors-focused-on-bulgaria?ref=Excel_OtherLists","648 Investors Focused on Bulgaria")</f>
        <v>648 Investors Focused on Bulgaria</v>
      </c>
    </row>
    <row r="68" spans="1:1">
      <c r="A68" s="2" t="str">
        <f>HYPERLINK("https://investorlist.com/list/london-based-investors?ref=Excel_OtherLists","1,075 London Based Investors")</f>
        <v>1,075 London Based Investors</v>
      </c>
    </row>
    <row r="69" spans="1:1">
      <c r="A69" s="2" t="str">
        <f>HYPERLINK("https://investorlist.com/list/new-delhi-based-investors?ref=Excel_OtherLists","104 New Delhi Based Investors")</f>
        <v>104 New Delhi Based Investors</v>
      </c>
    </row>
    <row r="70" spans="1:1">
      <c r="A70" s="2" t="str">
        <f>HYPERLINK("https://investorlist.com/list/dhaka-based-investors?ref=Excel_OtherLists","28 Dhaka Based Investors")</f>
        <v>28 Dhaka Based Investors</v>
      </c>
    </row>
    <row r="71" spans="1:1">
      <c r="A71" s="2" t="str">
        <f>HYPERLINK("https://investorlist.com/list/sao-paulo-based-investors?ref=Excel_OtherLists","162 São Paulo Based Investors")</f>
        <v>162 São Paulo Based Investors</v>
      </c>
    </row>
    <row r="72" spans="1:1">
      <c r="A72" s="2" t="str">
        <f>HYPERLINK("https://investorlist.com/list/mexico-city-based-investors?ref=Excel_OtherLists","39 Mexico City Based Investors")</f>
        <v>39 Mexico City Based Investors</v>
      </c>
    </row>
    <row r="73" spans="1:1">
      <c r="A73" s="2" t="str">
        <f>HYPERLINK("https://investorlist.com/list/cairo-based-investors?ref=Excel_OtherLists","4 Cairo Based Investors")</f>
        <v>4 Cairo Based Investors</v>
      </c>
    </row>
    <row r="74" spans="1:1">
      <c r="A74" s="2" t="str">
        <f>HYPERLINK("https://investorlist.com/list/mumbai-based-investors?ref=Excel_OtherLists","513 Mumbai Based Investors")</f>
        <v>513 Mumbai Based Investors</v>
      </c>
    </row>
    <row r="75" spans="1:1">
      <c r="A75" s="2" t="str">
        <f>HYPERLINK("https://investorlist.com/list/istanbul-based-investors?ref=Excel_OtherLists","151 Istanbul Based Investors")</f>
        <v>151 Istanbul Based Investors</v>
      </c>
    </row>
    <row r="76" spans="1:1">
      <c r="A76" s="2" t="str">
        <f>HYPERLINK("https://investorlist.com/list/buenos-aires-based-investors?ref=Excel_OtherLists","22 Buenos Aires Based Investors")</f>
        <v>22 Buenos Aires Based Investors</v>
      </c>
    </row>
    <row r="77" spans="1:1">
      <c r="A77" s="2" t="str">
        <f>HYPERLINK("https://investorlist.com/list/kolkata-based-investors?ref=Excel_OtherLists","18 Kolkata Based Investors")</f>
        <v>18 Kolkata Based Investors</v>
      </c>
    </row>
    <row r="78" spans="1:1">
      <c r="A78" s="2" t="str">
        <f>HYPERLINK("https://investorlist.com/list/lagos-based-investors?ref=Excel_OtherLists","96 Lagos Based Investors")</f>
        <v>96 Lagos Based Investors</v>
      </c>
    </row>
    <row r="79" spans="1:1">
      <c r="A79" s="2" t="str">
        <f>HYPERLINK("https://investorlist.com/list/maritime-investors?ref=Excel_OtherLists","98 Maritime Investors")</f>
        <v>98 Maritime Investors</v>
      </c>
    </row>
    <row r="80" spans="1:1">
      <c r="A80" s="2" t="str">
        <f>HYPERLINK("https://investorlist.com/list/hospitality-investors?ref=Excel_OtherLists","1,373 Hospitality Investors")</f>
        <v>1,373 Hospitality Investors</v>
      </c>
    </row>
    <row r="81" spans="1:1">
      <c r="A81" s="2" t="str">
        <f>HYPERLINK("https://investorlist.com/list/manufacturing-investors?ref=Excel_OtherLists","2,657 Manufacturing Investors")</f>
        <v>2,657 Manufacturing Investors</v>
      </c>
    </row>
    <row r="82" spans="1:1">
      <c r="A82" s="2" t="str">
        <f>HYPERLINK("https://investorlist.com/list/impact-and-esg-investors?ref=Excel_OtherLists","253 Impact and ESG Investors")</f>
        <v>253 Impact and ESG Investors</v>
      </c>
    </row>
    <row r="83" spans="1:1">
      <c r="A83" s="2" t="str">
        <f>HYPERLINK("https://investorlist.com/list/automotive-investors?ref=Excel_OtherLists","779 Automotive Investors")</f>
        <v>779 Automotive Investors</v>
      </c>
    </row>
    <row r="84" spans="1:1">
      <c r="A84" s="2" t="str">
        <f>HYPERLINK("https://investorlist.com/list/silicon-valley-investors?ref=Excel_OtherLists","638 Silicon Valley Investors")</f>
        <v>638 Silicon Valley Investors</v>
      </c>
    </row>
    <row r="85" spans="1:1">
      <c r="A85" s="2" t="str">
        <f>HYPERLINK("https://investorlist.com/list/indian-angel-investors?ref=Excel_OtherLists","108 Indian Angel Investors")</f>
        <v>108 Indian Angel Investors</v>
      </c>
    </row>
    <row r="86" spans="1:1">
      <c r="A86" s="2" t="str">
        <f>HYPERLINK("https://investorlist.com/list/gym-fitness-industry-investors?ref=Excel_OtherLists","121 Gym &amp; Fitness Industry Investors")</f>
        <v>121 Gym &amp; Fitness Industry Investors</v>
      </c>
    </row>
    <row r="87" spans="1:1">
      <c r="A87" s="2" t="str">
        <f>HYPERLINK("https://investorlist.com/list/crypto-investors?ref=Excel_OtherLists","1,360 Crypto Investors (Globally)")</f>
        <v>1,360 Crypto Investors (Globally)</v>
      </c>
    </row>
    <row r="88" spans="1:1">
      <c r="A88" s="2" t="str">
        <f>HYPERLINK("https://investorlist.com/list/healthcare-investors?ref=Excel_OtherLists","7,276 Healthcare Investors")</f>
        <v>7,276 Healthcare Investors</v>
      </c>
    </row>
    <row r="89" spans="1:1">
      <c r="A89" s="2" t="str">
        <f>HYPERLINK("https://investorlist.com/list/agriculture-investors?ref=Excel_OtherLists","2,502 Agriculture Investors")</f>
        <v>2,502 Agriculture Investors</v>
      </c>
    </row>
    <row r="90" spans="1:1">
      <c r="A90" s="2" t="str">
        <f>HYPERLINK("https://investorlist.com/list/cybersecurity-investors?ref=Excel_OtherLists","774 Cybersecurity Investors")</f>
        <v>774 Cybersecurity Investors</v>
      </c>
    </row>
    <row r="91" spans="1:1">
      <c r="A91" s="2" t="str">
        <f>HYPERLINK("https://investorlist.com/list/artificial-intelligence-investors?ref=Excel_OtherLists","2,740 Artificial Intelligence Investors")</f>
        <v>2,740 Artificial Intelligence Investors</v>
      </c>
    </row>
    <row r="92" spans="1:1">
      <c r="A92" s="2" t="str">
        <f>HYPERLINK("https://investorlist.com/list/logistics-investors?ref=Excel_OtherLists","1,981 Logistics Investors")</f>
        <v>1,981 Logistics Investors</v>
      </c>
    </row>
    <row r="93" spans="1:1">
      <c r="A93" s="2" t="str">
        <f>HYPERLINK("https://investorlist.com/list/marketplace-investors?ref=Excel_OtherLists","284 Marketplace Investors")</f>
        <v>284 Marketplace Investors</v>
      </c>
    </row>
    <row r="94" spans="1:1">
      <c r="A94" s="2" t="str">
        <f>HYPERLINK("https://investorlist.com/list/finance-investors?ref=Excel_OtherLists","530 Finance Investors")</f>
        <v>530 Finance Investors</v>
      </c>
    </row>
    <row r="95" spans="1:1">
      <c r="A95" s="2" t="str">
        <f>HYPERLINK("https://investorlist.com/list/real-estate-investors?ref=Excel_OtherLists","5,306 Real Estate Investors")</f>
        <v>5,306 Real Estate Investors</v>
      </c>
    </row>
    <row r="96" spans="1:1">
      <c r="A96" s="2" t="str">
        <f>HYPERLINK("https://investorlist.com/list/retail-investors?ref=Excel_OtherLists","3,088 Retail Investors")</f>
        <v>3,088 Retail Investors</v>
      </c>
    </row>
    <row r="97" spans="1:1">
      <c r="A97" s="2" t="str">
        <f>HYPERLINK("https://investorlist.com/list/media-and-entertainment-investors?ref=Excel_OtherLists","3,883 Media and Entertainment Investors")</f>
        <v>3,883 Media and Entertainment Investors</v>
      </c>
    </row>
    <row r="98" spans="1:1">
      <c r="A98" s="2" t="str">
        <f>HYPERLINK("https://investorlist.com/list/blockchain-investors?ref=Excel_OtherLists","1,128 Blockchain Investors")</f>
        <v>1,128 Blockchain Investors</v>
      </c>
    </row>
    <row r="99" spans="1:1">
      <c r="A99" s="2" t="str">
        <f>HYPERLINK("https://investorlist.com/list/video-game-investors?ref=Excel_OtherLists","28 Video Game Investors")</f>
        <v>28 Video Game Investors</v>
      </c>
    </row>
    <row r="100" spans="1:1">
      <c r="A100" s="2" t="str">
        <f>HYPERLINK("https://investorlist.com/list/consumer-goods-investors?ref=Excel_OtherLists","3,035 Consumer Goods Investors")</f>
        <v>3,035 Consumer Goods Investors</v>
      </c>
    </row>
    <row r="101" spans="1:1">
      <c r="A101" s="2" t="str">
        <f>HYPERLINK("https://investorlist.com/list/restaurant-investors?ref=Excel_OtherLists","175 Restaurant Investors")</f>
        <v>175 Restaurant Investors</v>
      </c>
    </row>
    <row r="102" spans="1:1">
      <c r="A102" s="2" t="str">
        <f>HYPERLINK("https://investorlist.com/list/tourism-investors?ref=Excel_OtherLists","334 Tourism Investors")</f>
        <v>334 Tourism Investors</v>
      </c>
    </row>
    <row r="103" spans="1:1">
      <c r="A103" s="2" t="str">
        <f>HYPERLINK("https://investorlist.com/list/saas-investors?ref=Excel_OtherLists","1,316 SaaS Investors")</f>
        <v>1,316 SaaS Investors</v>
      </c>
    </row>
    <row r="104" spans="1:1">
      <c r="A104" s="2" t="str">
        <f>HYPERLINK("https://investorlist.com/list/climatetech-investors?ref=Excel_OtherLists","627 ClimateTech Investors")</f>
        <v>627 ClimateTech Investors</v>
      </c>
    </row>
    <row r="105" spans="1:1">
      <c r="A105" s="2" t="str">
        <f>HYPERLINK("https://investorlist.com/list/proptech-investors?ref=Excel_OtherLists","387 PropTech Investors")</f>
        <v>387 PropTech Investors</v>
      </c>
    </row>
    <row r="106" spans="1:1">
      <c r="A106" s="2" t="str">
        <f>HYPERLINK("https://investorlist.com/list/food-and-beverage-investors?ref=Excel_OtherLists","544 Food and Beverage Investors")</f>
        <v>544 Food and Beverage Investors</v>
      </c>
    </row>
    <row r="107" spans="1:1">
      <c r="A107" s="2" t="str">
        <f>HYPERLINK("https://investorlist.com/list/fashion-investors?ref=Excel_OtherLists","208 Fashion Investors")</f>
        <v>208 Fashion Investors</v>
      </c>
    </row>
    <row r="108" spans="1:1">
      <c r="A108" s="2" t="str">
        <f>HYPERLINK("https://investorlist.com/list/seed-and-pre-seed-investors-in-the-gcc-region?ref=Excel_OtherLists","406 Seed and Pre Seed Investors in the GCC Region")</f>
        <v>406 Seed and Pre Seed Investors in the GCC Region</v>
      </c>
    </row>
    <row r="109" spans="1:1">
      <c r="A109" s="2" t="str">
        <f>HYPERLINK("https://investorlist.com/list/biotech-investors?ref=Excel_OtherLists","2,075 Biotech Investors")</f>
        <v>2,075 Biotech Investors</v>
      </c>
    </row>
    <row r="110" spans="1:1">
      <c r="A110" s="2" t="str">
        <f>HYPERLINK("https://investorlist.com/list/us-healthcare-investors?ref=Excel_OtherLists","3,651 US Healthcare Investors")</f>
        <v>3,651 US Healthcare Investors</v>
      </c>
    </row>
    <row r="111" spans="1:1">
      <c r="A111" s="2" t="str">
        <f>HYPERLINK("https://investorlist.com/list/uk-healthcare-investors?ref=Excel_OtherLists","474 UK Healthcare Investors")</f>
        <v>474 UK Healthcare Investors</v>
      </c>
    </row>
    <row r="112" spans="1:1">
      <c r="A112" s="2" t="str">
        <f>HYPERLINK("https://investorlist.com/list/european-healthcare-investors?ref=Excel_OtherLists","1,856 European Healthcare Investors")</f>
        <v>1,856 European Healthcare Investors</v>
      </c>
    </row>
    <row r="113" spans="1:1">
      <c r="A113" s="2" t="str">
        <f>HYPERLINK("https://investorlist.com/list/fashion-investors-in-new-york?ref=Excel_OtherLists","38 Fashion Investors in New York")</f>
        <v>38 Fashion Investors in New York</v>
      </c>
    </row>
    <row r="114" spans="1:1">
      <c r="A114" s="2" t="str">
        <f>HYPERLINK("https://investorlist.com/list/saas-investors-based-in-new-york?ref=Excel_OtherLists","97 SaaS Investors based in New York")</f>
        <v>97 SaaS Investors based in New York</v>
      </c>
    </row>
    <row r="115" spans="1:1">
      <c r="A115" s="2" t="str">
        <f>HYPERLINK("https://investorlist.com/list/startup-investors-globally?ref=Excel_OtherLists","22,851 Startup Investors (Globally)")</f>
        <v>22,851 Startup Investors (Globally)</v>
      </c>
    </row>
    <row r="116" spans="1:1">
      <c r="A116" s="2" t="str">
        <f>HYPERLINK("https://investorlist.com/list/edtech-investors?ref=Excel_OtherLists","1,074 EdTech Investors")</f>
        <v>1,074 EdTech Investors</v>
      </c>
    </row>
    <row r="117" spans="1:1">
      <c r="A117" s="2" t="str">
        <f>HYPERLINK("https://investorlist.com/list/investors-focused-on-uae?ref=Excel_OtherLists","2,207 Investors Focused on UAE")</f>
        <v>2,207 Investors Focused on UAE</v>
      </c>
    </row>
    <row r="118" spans="1:1">
      <c r="A118" s="2" t="str">
        <f>HYPERLINK("https://investorlist.com/list/investors-focused-on-portugal?ref=Excel_OtherLists","1,516 Investors Focused on Portugal")</f>
        <v>1,516 Investors Focused on Portugal</v>
      </c>
    </row>
    <row r="119" spans="1:1">
      <c r="A119" s="2" t="str">
        <f>HYPERLINK("https://investorlist.com/list/investors-focused-on-the-us?ref=Excel_OtherLists","16,932 Investors Focused on the US")</f>
        <v>16,932 Investors Focused on the US</v>
      </c>
    </row>
    <row r="120" spans="1:1">
      <c r="A120" s="2" t="str">
        <f>HYPERLINK("https://investorlist.com/list/new-york-based-investors?ref=Excel_OtherLists","2,383 New York based Investors")</f>
        <v>2,383 New York based Investors</v>
      </c>
    </row>
    <row r="121" spans="1:1">
      <c r="A121" s="2" t="str">
        <f>HYPERLINK("https://investorlist.com/list/los-angeles-based-investors?ref=Excel_OtherLists","300 Los Angeles Based Investors")</f>
        <v>300 Los Angeles Based Investors</v>
      </c>
    </row>
    <row r="122" spans="1:1">
      <c r="A122" s="2" t="str">
        <f>HYPERLINK("https://investorlist.com/list/california-based-investors?ref=Excel_OtherLists","3,105 California Based Investors")</f>
        <v>3,105 California Based Investors</v>
      </c>
    </row>
    <row r="123" spans="1:1">
      <c r="A123" s="2" t="str">
        <f>HYPERLINK("https://investorlist.com/list/startup-investors-in-the-us?ref=Excel_OtherLists","7,638 Startup Investors in the US")</f>
        <v>7,638 Startup Investors in the US</v>
      </c>
    </row>
    <row r="124" spans="1:1">
      <c r="A124" s="2" t="str">
        <f>HYPERLINK("https://investorlist.com/list/investors-focused-on-south-africa?ref=Excel_OtherLists","2,750 Investors Focused on South Africa")</f>
        <v>2,750 Investors Focused on South Africa</v>
      </c>
    </row>
    <row r="125" spans="1:1">
      <c r="A125" s="2" t="str">
        <f>HYPERLINK("https://investorlist.com/list/investors-focused-on-egypt?ref=Excel_OtherLists","1,051 Investors Focused on Egypt")</f>
        <v>1,051 Investors Focused on Egypt</v>
      </c>
    </row>
    <row r="126" spans="1:1">
      <c r="A126" s="2" t="str">
        <f>HYPERLINK("https://investorlist.com/list/investors-focused-on-ethiopia?ref=Excel_OtherLists","357 Investors Focused on Ethiopia")</f>
        <v>357 Investors Focused on Ethiopia</v>
      </c>
    </row>
    <row r="127" spans="1:1">
      <c r="A127" s="2" t="str">
        <f>HYPERLINK("https://investorlist.com/list/investors-focused-on-morocco?ref=Excel_OtherLists","439 Investors Focused on Morocco")</f>
        <v>439 Investors Focused on Morocco</v>
      </c>
    </row>
    <row r="128" spans="1:1">
      <c r="A128" s="2" t="str">
        <f>HYPERLINK("https://investorlist.com/list/investors-focused-on-spain?ref=Excel_OtherLists","3,879 Investors Focused on Spain")</f>
        <v>3,879 Investors Focused on Spain</v>
      </c>
    </row>
    <row r="129" spans="1:1">
      <c r="A129" s="2" t="str">
        <f>HYPERLINK("https://investorlist.com/list/investors-focused-on-france?ref=Excel_OtherLists","5,470 Investors Focused on France")</f>
        <v>5,470 Investors Focused on France</v>
      </c>
    </row>
    <row r="130" spans="1:1">
      <c r="A130" s="2" t="str">
        <f>HYPERLINK("https://investorlist.com/list/investors-focused-on-australia?ref=Excel_OtherLists","4,235 Investors Focused on Australia")</f>
        <v>4,235 Investors Focused on Australia</v>
      </c>
    </row>
    <row r="131" spans="1:1">
      <c r="A131" s="2" t="str">
        <f>HYPERLINK("https://investorlist.com/list/investors-focused-on-germany?ref=Excel_OtherLists","6,095 Investors Focused on Germany")</f>
        <v>6,095 Investors Focused on Germany</v>
      </c>
    </row>
    <row r="132" spans="1:1">
      <c r="A132" s="2" t="str">
        <f>HYPERLINK("https://investorlist.com/list/investors-focused-on-israel?ref=Excel_OtherLists","1,664 Investors Focused on Israel")</f>
        <v>1,664 Investors Focused on Israel</v>
      </c>
    </row>
    <row r="133" spans="1:1">
      <c r="A133" s="2" t="str">
        <f>HYPERLINK("https://investorlist.com/list/investors-focused-on-canada?ref=Excel_OtherLists","4,593 Investors Focused on Canada")</f>
        <v>4,593 Investors Focused on Canada</v>
      </c>
    </row>
    <row r="134" spans="1:1">
      <c r="A134" s="2" t="str">
        <f>HYPERLINK("https://investorlist.com/list/investors-focused-on-mozambique?ref=Excel_OtherLists","323 Investors Focused on Mozambique")</f>
        <v>323 Investors Focused on Mozambique</v>
      </c>
    </row>
    <row r="135" spans="1:1">
      <c r="A135" s="2" t="str">
        <f>HYPERLINK("https://investorlist.com/list/investors-focused-on-angola?ref=Excel_OtherLists","281 Investors Focused on Angola")</f>
        <v>281 Investors Focused on Angola</v>
      </c>
    </row>
    <row r="136" spans="1:1">
      <c r="A136" s="2" t="str">
        <f>HYPERLINK("https://investorlist.com/list/investors-focused-on-mauritius?ref=Excel_OtherLists","192 Investors Focused on Mauritius")</f>
        <v>192 Investors Focused on Mauritius</v>
      </c>
    </row>
    <row r="137" spans="1:1">
      <c r="A137" s="2" t="str">
        <f>HYPERLINK("https://investorlist.com/list/investors-focused-on-mexico?ref=Excel_OtherLists","3,145 Investors Focused on Mexico")</f>
        <v>3,145 Investors Focused on Mexico</v>
      </c>
    </row>
    <row r="138" spans="1:1">
      <c r="A138" s="2" t="str">
        <f>HYPERLINK("https://investorlist.com/list/investors-focused-on-argentina?ref=Excel_OtherLists","1,090 Investors Focused on Argentina")</f>
        <v>1,090 Investors Focused on Argentina</v>
      </c>
    </row>
    <row r="139" spans="1:1">
      <c r="A139" s="2" t="str">
        <f>HYPERLINK("https://investorlist.com/list/investors-focused-on-the-netherlands?ref=Excel_OtherLists","3,722 Investors Focused on the Netherlands")</f>
        <v>3,722 Investors Focused on the Netherlands</v>
      </c>
    </row>
    <row r="140" spans="1:1">
      <c r="A140" s="2" t="str">
        <f>HYPERLINK("https://investorlist.com/list/investors-focused-on-brazil?ref=Excel_OtherLists","3,374 Investors Focused on Brazil")</f>
        <v>3,374 Investors Focused on Brazil</v>
      </c>
    </row>
    <row r="141" spans="1:1">
      <c r="A141" s="2" t="str">
        <f>HYPERLINK("https://investorlist.com/list/investors-focused-on-switzerland?ref=Excel_OtherLists","3,168 Investors Focused on Switzerland")</f>
        <v>3,168 Investors Focused on Switzerland</v>
      </c>
    </row>
    <row r="142" spans="1:1">
      <c r="A142" s="2" t="str">
        <f>HYPERLINK("https://investorlist.com/list/investors-focused-on-saudi-arabia?ref=Excel_OtherLists","1,601 Investors Focused on Saudi Arabia")</f>
        <v>1,601 Investors Focused on Saudi Arabia</v>
      </c>
    </row>
    <row r="143" spans="1:1">
      <c r="A143" s="2" t="str">
        <f>HYPERLINK("https://investorlist.com/list/investors-focused-on-poland?ref=Excel_OtherLists","2,227 Investors Focused on Poland")</f>
        <v>2,227 Investors Focused on Poland</v>
      </c>
    </row>
    <row r="144" spans="1:1">
      <c r="A144" s="2" t="str">
        <f>HYPERLINK("https://investorlist.com/list/investors-focused-on-new-zealand?ref=Excel_OtherLists","1,153 Investors Focused on New Zealand")</f>
        <v>1,153 Investors Focused on New Zealand</v>
      </c>
    </row>
    <row r="145" spans="1:1">
      <c r="A145" s="2" t="str">
        <f>HYPERLINK("https://investorlist.com/list/investors-focused-on-colombia?ref=Excel_OtherLists","807 Investors Focused on Colombia")</f>
        <v>807 Investors Focused on Colombia</v>
      </c>
    </row>
    <row r="146" spans="1:1">
      <c r="A146" s="2" t="str">
        <f>HYPERLINK("https://investorlist.com/list/investors-focused-on-qatar?ref=Excel_OtherLists","396 Investors Focused on Qatar")</f>
        <v>396 Investors Focused on Qatar</v>
      </c>
    </row>
    <row r="147" spans="1:1">
      <c r="A147" s="2" t="str">
        <f>HYPERLINK("https://investorlist.com/list/investors-focused-on-finland?ref=Excel_OtherLists","2,761 Investors Focused on Finland")</f>
        <v>2,761 Investors Focused on Finland</v>
      </c>
    </row>
    <row r="148" spans="1:1">
      <c r="A148" s="2" t="str">
        <f>HYPERLINK("https://investorlist.com/list/investors-focused-on-italy?ref=Excel_OtherLists","3,698 Investors Focused on Italy")</f>
        <v>3,698 Investors Focused on Italy</v>
      </c>
    </row>
    <row r="149" spans="1:1">
      <c r="A149" s="2" t="str">
        <f>HYPERLINK("https://investorlist.com/list/european-startup-investors?ref=Excel_OtherLists","4,463 European Startup Investors")</f>
        <v>4,463 European Startup Investors</v>
      </c>
    </row>
    <row r="150" spans="1:1">
      <c r="A150" s="2" t="str">
        <f>HYPERLINK("https://investorlist.com/list/scandinavian-startup-investors?ref=Excel_OtherLists","604 Scandinavian Startup Investors")</f>
        <v>604 Scandinavian Startup Investors</v>
      </c>
    </row>
    <row r="151" spans="1:1">
      <c r="A151" s="2" t="str">
        <f>HYPERLINK("https://investorlist.com/list/uk-startup-investors?ref=Excel_OtherLists","901 UK Startup Investors")</f>
        <v>901 UK Startup Investors</v>
      </c>
    </row>
    <row r="152" spans="1:1">
      <c r="A152" s="2" t="str">
        <f>HYPERLINK("https://investorlist.com/list/european-artificial-intelligence-investors?ref=Excel_OtherLists","746 European Artificial Intelligence Investors")</f>
        <v>746 European Artificial Intelligence Investors</v>
      </c>
    </row>
    <row r="153" spans="1:1">
      <c r="A153" s="2" t="str">
        <f>HYPERLINK("https://investorlist.com/list/us-artificial-intelligence-investors?ref=Excel_OtherLists","1,326 US Artificial Intelligence Investors")</f>
        <v>1,326 US Artificial Intelligence Investors</v>
      </c>
    </row>
    <row r="154" spans="1:1">
      <c r="A154" s="2" t="str">
        <f>HYPERLINK("https://investorlist.com/list/chicago-startup-investors?ref=Excel_OtherLists","205 Chicago Startup Investors")</f>
        <v>205 Chicago Startup Investors</v>
      </c>
    </row>
    <row r="155" spans="1:1">
      <c r="A155" s="2" t="str">
        <f>HYPERLINK("https://investorlist.com/list/houston-startup-investors?ref=Excel_OtherLists","80 Houston Startup Investors")</f>
        <v>80 Houston Startup Investors</v>
      </c>
    </row>
    <row r="156" spans="1:1">
      <c r="A156" s="2" t="str">
        <f>HYPERLINK("https://investorlist.com/list/corporate-vcs-globally?ref=Excel_OtherLists","1,176 Corporate VCs (Globally)")</f>
        <v>1,176 Corporate VCs (Globally)</v>
      </c>
    </row>
    <row r="157" spans="1:1">
      <c r="A157" s="2" t="str">
        <f>HYPERLINK("https://investorlist.com/list/fund-of-funds-globally?ref=Excel_OtherLists","124 Fund of Funds (Globally)")</f>
        <v>124 Fund of Funds (Globally)</v>
      </c>
    </row>
    <row r="158" spans="1:1">
      <c r="A158" s="2" t="str">
        <f>HYPERLINK("https://investorlist.com/list/tokyo-based-investors?ref=Excel_OtherLists","352 Tokyo Based Investors")</f>
        <v>352 Tokyo Based Investors</v>
      </c>
    </row>
    <row r="159" spans="1:1">
      <c r="A159" s="2" t="str">
        <f>HYPERLINK("https://investorlist.com/list/shanghai-based-investors?ref=Excel_OtherLists","239 Shanghai Based Investors")</f>
        <v>239 Shanghai Based Investors</v>
      </c>
    </row>
    <row r="160" spans="1:1">
      <c r="A160" s="2" t="str">
        <f>HYPERLINK("https://investorlist.com/list/beijing-based-investors?ref=Excel_OtherLists","301 Beijing Based Investors")</f>
        <v>301 Beijing Based Investors</v>
      </c>
    </row>
    <row r="161" spans="1:1">
      <c r="A161" s="2" t="str">
        <f>HYPERLINK("https://investorlist.com/list/osaka-based-investors?ref=Excel_OtherLists","12 Osaka Based Investors")</f>
        <v>12 Osaka Based Investors</v>
      </c>
    </row>
    <row r="162" spans="1:1">
      <c r="A162" s="2" t="str">
        <f>HYPERLINK("https://investorlist.com/list/chongqing-based-investors?ref=Excel_OtherLists","3 Chongqing Based Investors")</f>
        <v>3 Chongqing Based Investors</v>
      </c>
    </row>
    <row r="163" spans="1:1">
      <c r="A163" s="2" t="str">
        <f>HYPERLINK("https://investorlist.com/list/kinshasa-based-investors?ref=Excel_OtherLists","1 Kinshasa Based Investors")</f>
        <v>1 Kinshasa Based Investors</v>
      </c>
    </row>
    <row r="164" spans="1:1">
      <c r="A164" s="2" t="str">
        <f>HYPERLINK("https://investorlist.com/list/european-angel-investors?ref=Excel_OtherLists","237 European Angel Investors")</f>
        <v>237 European Angel Investors</v>
      </c>
    </row>
    <row r="165" spans="1:1">
      <c r="A165" s="2" t="str">
        <f>HYPERLINK("https://investorlist.com/list/fintech-investors-in-dubai?ref=Excel_OtherLists","58 Fintech Investors in Dubai")</f>
        <v>58 Fintech Investors in Dubai</v>
      </c>
    </row>
    <row r="166" spans="1:1">
      <c r="A166" s="2" t="str">
        <f>HYPERLINK("https://investorlist.com/list/foreign-investors-that-invest-in-india?ref=Excel_OtherLists","3,274 Foreign Investors that Invest in India")</f>
        <v>3,274 Foreign Investors that Invest in India</v>
      </c>
    </row>
    <row r="167" spans="1:1">
      <c r="A167" s="2" t="str">
        <f>HYPERLINK("https://investorlist.com/list/venture-capital-investors?ref=Excel_OtherLists","9,090 Venture Capital Investors")</f>
        <v>9,090 Venture Capital Investors</v>
      </c>
    </row>
    <row r="168" spans="1:1">
      <c r="A168" s="2" t="str">
        <f>HYPERLINK("https://investorlist.com/list/investors-focused-on-nigeria?ref=Excel_OtherLists","932 Investors Focused on Nigeria")</f>
        <v>932 Investors Focused on Nigeria</v>
      </c>
    </row>
    <row r="169" spans="1:1">
      <c r="A169" s="2" t="str">
        <f>HYPERLINK("https://investorlist.com/list/investors-focused-on-indonesia?ref=Excel_OtherLists","1,193 Investors Focused on Indonesia")</f>
        <v>1,193 Investors Focused on Indonesia</v>
      </c>
    </row>
    <row r="170" spans="1:1">
      <c r="A170" s="2" t="str">
        <f>HYPERLINK("https://investorlist.com/list/us-based-angel-investors?ref=Excel_OtherLists","447 US Based Angel Investors")</f>
        <v>447 US Based Angel Investors</v>
      </c>
    </row>
    <row r="171" spans="1:1">
      <c r="A171" s="2" t="str">
        <f>HYPERLINK("https://investorlist.com/list/real-estate-investors-in-dubai?ref=Excel_OtherLists","175 Dubai Real Estate Investors")</f>
        <v>175 Dubai Real Estate Investors</v>
      </c>
    </row>
    <row r="172" spans="1:1">
      <c r="A172" s="2" t="str">
        <f>HYPERLINK("https://investorlist.com/list/uae-based-private-equity-investors?ref=Excel_OtherLists","65 UAE-Based Private Equity Investors")</f>
        <v>65 UAE-Based Private Equity Investors</v>
      </c>
    </row>
    <row r="173" spans="1:1">
      <c r="A173" s="2" t="str">
        <f>HYPERLINK("https://investorlist.com/list/hotel-investors?ref=Excel_OtherLists","212 Hotel Investors")</f>
        <v>212 Hotel Investors</v>
      </c>
    </row>
    <row r="174" spans="1:1">
      <c r="A174" s="2" t="str">
        <f>HYPERLINK("https://investorlist.com/list/list-of-family-offices?ref=Excel_OtherLists","811 Family Offices (Globally)")</f>
        <v>811 Family Offices (Globally)</v>
      </c>
    </row>
    <row r="175" spans="1:1">
      <c r="A175" s="2" t="str">
        <f>HYPERLINK("https://investorlist.com/list/renewable-energy-investors?ref=Excel_OtherLists","757 Renewable Energy Investors")</f>
        <v>757 Renewable Energy Investors</v>
      </c>
    </row>
    <row r="176" spans="1:1">
      <c r="A176" s="2" t="str">
        <f>HYPERLINK("https://investorlist.com/list/charitable-foundations?ref=Excel_OtherLists","79 Charitable Foundations")</f>
        <v>79 Charitable Foundations</v>
      </c>
    </row>
    <row r="177" spans="1:1">
      <c r="A177" s="2" t="str">
        <f>HYPERLINK("https://investorlist.com/list/us-based-family-offices?ref=Excel_OtherLists","362 US Based Family Offices")</f>
        <v>362 US Based Family Offices</v>
      </c>
    </row>
    <row r="178" spans="1:1">
      <c r="A178" s="2" t="str">
        <f>HYPERLINK("https://investorlist.com/list/oil-and-gas-investors?ref=Excel_OtherLists","210 Oil and Gas Investors")</f>
        <v>210 Oil and Gas Investors</v>
      </c>
    </row>
    <row r="179" spans="1:1">
      <c r="A179" s="2" t="str">
        <f>HYPERLINK("https://investorlist.com/list/real-estate-investors-focused-on-the-uae?ref=Excel_OtherLists","835 Real Estate Investors Focused on the UAE")</f>
        <v>835 Real Estate Investors Focused on the UAE</v>
      </c>
    </row>
    <row r="180" spans="1:1">
      <c r="A180" s="2" t="str">
        <f>HYPERLINK("https://investorlist.com/list/new-york-based-real-estate-investors?ref=Excel_OtherLists","637 New York Based Real Estate Investors")</f>
        <v>637 New York Based Real Estate Investors</v>
      </c>
    </row>
    <row r="181" spans="1:1">
      <c r="A181" s="2" t="str">
        <f>HYPERLINK("https://investorlist.com/list/hedge-funds-globally?ref=Excel_OtherLists","320 Hedge Funds (Globally)")</f>
        <v>320 Hedge Funds (Globally)</v>
      </c>
    </row>
    <row r="182" spans="1:1">
      <c r="A182" s="2" t="str">
        <f>HYPERLINK("https://investorlist.com/list/charitable-foundations-globally?ref=Excel_OtherLists","78 Charitable Foundations (Globally)")</f>
        <v>78 Charitable Foundations (Globally)</v>
      </c>
    </row>
    <row r="183" spans="1:1">
      <c r="A183" s="2" t="str">
        <f>HYPERLINK("https://investorlist.com/list/debt-investors-globally?ref=Excel_OtherLists","75 Debt Investors (Globally)")</f>
        <v>75 Debt Investors (Globally)</v>
      </c>
    </row>
    <row r="184" spans="1:1">
      <c r="A184" s="2" t="str">
        <f>HYPERLINK("https://investorlist.com/list/endowments?ref=Excel_OtherLists","7 Endowments")</f>
        <v>7 Endowments</v>
      </c>
    </row>
    <row r="185" spans="1:1">
      <c r="A185" s="2" t="str">
        <f>HYPERLINK("https://investorlist.com/list/institutional-investors-globally?ref=Excel_OtherLists","966 Institutional Investors (Globally)")</f>
        <v>966 Institutional Investors (Globally)</v>
      </c>
    </row>
    <row r="186" spans="1:1">
      <c r="A186" s="2" t="str">
        <f>HYPERLINK("https://investorlist.com/list/mutual-funds-globally?ref=Excel_OtherLists","207 Mutual Funds (Globally)")</f>
        <v>207 Mutual Funds (Globally)</v>
      </c>
    </row>
    <row r="187" spans="1:1">
      <c r="A187" s="2" t="str">
        <f>HYPERLINK("https://investorlist.com/list/pension-funds-globally?ref=Excel_OtherLists","57 Pension Funds (Globally)")</f>
        <v>57 Pension Funds (Globally)</v>
      </c>
    </row>
    <row r="188" spans="1:1">
      <c r="A188" s="2" t="str">
        <f>HYPERLINK("https://investorlist.com/list/private-equity-investors-globally?ref=Excel_OtherLists","4,520 Private Equity Investors (Globally)")</f>
        <v>4,520 Private Equity Investors (Globally)</v>
      </c>
    </row>
    <row r="189" spans="1:1">
      <c r="A189" s="2" t="str">
        <f>HYPERLINK("https://investorlist.com/list/private-investment-firms-globally?ref=Excel_OtherLists","4,478 Private Investment Firms (Globally)")</f>
        <v>4,478 Private Investment Firms (Globally)</v>
      </c>
    </row>
    <row r="190" spans="1:1">
      <c r="A190" s="2" t="str">
        <f>HYPERLINK("https://investorlist.com/list/private-investors-globally?ref=Excel_OtherLists","885 Private Investors (Globally)")</f>
        <v>885 Private Investors (Globally)</v>
      </c>
    </row>
    <row r="191" spans="1:1">
      <c r="A191" s="2" t="str">
        <f>HYPERLINK("https://investorlist.com/list/sovereign-wealth-funds?ref=Excel_OtherLists","131 Sovereign Wealth Funds")</f>
        <v>131 Sovereign Wealth Funds</v>
      </c>
    </row>
    <row r="192" spans="1:1">
      <c r="A192" s="2" t="str">
        <f>HYPERLINK("https://investorlist.com/list/syndicate-investors-globally?ref=Excel_OtherLists","253 Syndicate Investors (Globally)")</f>
        <v>253 Syndicate Investors (Globally)</v>
      </c>
    </row>
    <row r="193" spans="1:1">
      <c r="A193" s="2" t="str">
        <f>HYPERLINK("https://investorlist.com/list/australia-based-investors?ref=Excel_OtherLists","430 Australia Based Investors")</f>
        <v>430 Australia Based Investors</v>
      </c>
    </row>
    <row r="194" spans="1:1">
      <c r="A194" s="2" t="str">
        <f>HYPERLINK("https://investorlist.com/list/african-investors?ref=Excel_OtherLists","760 African Investors")</f>
        <v>760 African Investors</v>
      </c>
    </row>
    <row r="195" spans="1:1">
      <c r="A195" s="2" t="str">
        <f>HYPERLINK("https://investorlist.com/list/angel-investors-globally?ref=Excel_OtherLists","885 Angel Investors (Globally)")</f>
        <v>885 Angel Investors (Globally)</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519 Investors Focused on Pakist</vt:lpstr>
      <vt:lpstr>Other Investor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SC</cp:lastModifiedBy>
  <cp:revision>0</cp:revision>
  <dcterms:created xsi:type="dcterms:W3CDTF">2026-02-14T18:18:46Z</dcterms:created>
  <dcterms:modified xsi:type="dcterms:W3CDTF">2026-03-08T15:10:07Z</dcterms:modified>
</cp:coreProperties>
</file>