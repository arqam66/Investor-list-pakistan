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SC\Downloads\"/>
    </mc:Choice>
  </mc:AlternateContent>
  <bookViews>
    <workbookView xWindow="0" yWindow="0" windowWidth="20490" windowHeight="6750"/>
  </bookViews>
  <sheets>
    <sheet name="25 Karachi Based Investors" sheetId="1" r:id="rId1"/>
    <sheet name="Other Investor Lists" sheetId="2" r:id="rId2"/>
  </sheets>
  <calcPr calcId="162913"/>
</workbook>
</file>

<file path=xl/calcChain.xml><?xml version="1.0" encoding="utf-8"?>
<calcChain xmlns="http://schemas.openxmlformats.org/spreadsheetml/2006/main">
  <c r="A195" i="2" l="1"/>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<sst xmlns="http://schemas.openxmlformats.org/spreadsheetml/2006/main" count="422" uniqueCount="278">
  <si>
    <t>Profile</t>
  </si>
  <si>
    <t>Investor</t>
  </si>
  <si>
    <t>Type</t>
  </si>
  <si>
    <t>Address</t>
  </si>
  <si>
    <t>City</t>
  </si>
  <si>
    <t>Country</t>
  </si>
  <si>
    <t>Website</t>
  </si>
  <si>
    <t>LinkedIn</t>
  </si>
  <si>
    <t>ContactEmail</t>
  </si>
  <si>
    <t>ContactPhone</t>
  </si>
  <si>
    <t>Description</t>
  </si>
  <si>
    <t>YearFounded</t>
  </si>
  <si>
    <t>Stages</t>
  </si>
  <si>
    <t>AssetClass</t>
  </si>
  <si>
    <t>IndustryFocus</t>
  </si>
  <si>
    <t>GeographicalFocus</t>
  </si>
  <si>
    <t>Requirements</t>
  </si>
  <si>
    <t>PortfolioCompanies</t>
  </si>
  <si>
    <t>AKD Group</t>
  </si>
  <si>
    <t>Private Equity</t>
  </si>
  <si>
    <t>618, Continental Trade Centre, Block-8, Clifton, Karachi</t>
  </si>
  <si>
    <t>Sindh</t>
  </si>
  <si>
    <t>PK</t>
  </si>
  <si>
    <t>https://www.akdgroup.net</t>
  </si>
  <si>
    <t/>
  </si>
  <si>
    <t>info@akdgroup.net</t>
  </si>
  <si>
    <t>+92 21 111 253 111</t>
  </si>
  <si>
    <t>AKD Group is a diversified conglomerate with interests spanning various sectors, including financial services, real estate, infrastructure, natural resources, telecom, commodities, defense goods, security solutions, consultancy, construction, aviation, hospitality, healthcare, logistics, supply chain, FMCG, education, media, technology, and retail. The group operates through several subsidiaries, each specializing in distinct areas, contributing to its expansive portfolio.    The group's investment strategy focuses on sectors such as real estate, financial services, infrastructure, and natural resources. It has been involved in significant projects, including the development of large-scale residential and commercial properties, as well as investments in the hospitality industry. In July 2025, AKD Group Holdings acquired a 27.95% stake in Pakistan Services Limited, the operator of Pearl Continental Hotels, marking a substantial investment in the hospitality sector.    AKD Group's approach emphasizes strategic expansion and maintaining a strong reputation by meeting customer needs and expectations. The group prioritizes client satisfaction and strives to deliver high-quality results across its diverse operations, adapting to evolving market dynamics while upholding its commitment to excellence and integrity.</t>
  </si>
  <si>
    <t>Growth, Late Stage, Buyout, Turnaround, Distressed</t>
  </si>
  <si>
    <t>Real Estate, Financial Services, Infrastructure, Natural Resources, Telecom, Commodities, Defense Goods, Security Solutions, Consultancy, Construction, Aviation, Hospitality, Healthcare, Logistics, Supply Chain, FMCG, Education, Media, Technology, Retail</t>
  </si>
  <si>
    <t>Financial Services, Technology, Healthcare, Real Estate, Infrastructure, Media, Retail, Education, Logistics, Hospitality, Construction, Supply Chain, Aviation, Commodities, Consultancy, Telecom, Natural Resources, FMCG, Defense Goods, Security Solutions</t>
  </si>
  <si>
    <t>United Kingdom, United Arab Emirates, Saudi Arabia, Pakistan</t>
  </si>
  <si>
    <t>Strategic alignment with AKD Group's diverse portfolio, Potential for significant growth and value creation, Strong management teams with a track record of success, Opportunities in sectors such as real estate, financial services, infrastructure, and natural resources, Projects that align with AKD Group's commitment to excellence and integrity</t>
  </si>
  <si>
    <t>AKD Securities Limited, AKD Capital, AKD REIT Management Company Limited, TMT Ventures Private Limited, AKD Investment Management Limited, M3 Technologies Pakistan Private Limited, Imperium Aviation, AKD Hospitality Limited, AKD Human Resources, AKD Property Holdings, AK Digital, Imperium Construction &amp; Developments, Total Integrated Services, Top Notch Nannies, Mrs. Hunts Agency, Imperium Alliance</t>
  </si>
  <si>
    <t>Bank Alfalah Limited</t>
  </si>
  <si>
    <t>Institutional Investor</t>
  </si>
  <si>
    <t>B.A. Building, Karachi</t>
  </si>
  <si>
    <t>https://www.bankalfalah.com/</t>
  </si>
  <si>
    <t>contactus@bankalfalah.com</t>
  </si>
  <si>
    <t>+92 21 111 225 111</t>
  </si>
  <si>
    <t>Bank Alfalah Limited is one of Pakistan's largest commercial banks, offering a wide range of financial services including corporate and investment banking, consumer banking, securities brokerage, and asset management. The bank has a significant presence in Pakistan and operates internationally in Afghanistan, Bangladesh, Bahrain, and the United Arab Emirates. It is listed on the Pakistan Stock Exchange and is owned and operated by the Abu Dhabi Group.  The bank's investment strategy is diverse, encompassing various asset classes such as fixed income, equity, commodities, real estate, infrastructure, private equity, and venture capital. It engages in investments across multiple stages, including seed, early stage, series A, series B, growth, late stage, pre-IPO, buyout, turnaround, and distressed situations. This broad approach allows Bank Alfalah to participate in a wide array of investment opportunities, catering to different market segments and risk profiles.  Bank Alfalah has demonstrated a strong commitment to investor relations, being recognized with the 'Best Investor Relations' award for nine consecutive years at the Annual Excellence Awards hosted by the CFA Society Pakistan. This accolade reflects the bank's dedication to maintaining transparent and effective communication with its investors, ensuring alignment with their interests and fostering trust in its financial stewardship.  In addition to its banking operations, Bank Alfalah has made strategic investments in subsidiaries such as Alfalah CLSA Securities (Private) Limited, a brokerage firm, and Alfalah GHP Investment Management Limited, an asset management company. These investments enhance the bank's capabilities in securities brokerage and asset management, contributing to its comprehensive financial services offering.  Overall, Bank Alfalah Limited's diversified investment approach, coupled with its strong investor relations and strategic subsidiary investments, underscores its position as a prominent and active institutional investor in Pakistan's financial landscape.</t>
  </si>
  <si>
    <t>Seed, Early Stage, Series A, Series B, Growth, Late Stage, Pre-IPO, Buyout, Turnaround, Distressed</t>
  </si>
  <si>
    <t>Fixed Income (Debt and Bonds), Equity, Commodities, Real Estate, Infrastructure, Private Equity, Venture Capital</t>
  </si>
  <si>
    <t>Financial Services, Real Estate, Infrastructure, Banking, Asset Management, Investment Management, Private Equity, Venture Capital, Commodities, Fixed Income, Equity, Brokerage, Islamic Finance</t>
  </si>
  <si>
    <t>United Arab Emirates, Bahrain, Pakistan, Bangladesh, Afghanistan</t>
  </si>
  <si>
    <t>Preference for investments in Pakistan and the Middle East, Interest in sectors such as banking, financial services, real estate, and infrastructure, Open to various investment stages, including seed, early stage, and growth, Focus on both equity and debt instruments, Emphasis on Shariah-compliant investment opportunities</t>
  </si>
  <si>
    <t>Alfalah CLSA Securities (Private) Limited, Alfalah GHP Investment Management Limited</t>
  </si>
  <si>
    <t>TPL e-Ventures</t>
  </si>
  <si>
    <t>Corporate VC</t>
  </si>
  <si>
    <t>20th Floor, Sky Tower – East Wing, Dolmen City, HC-3, Block 4, Abdul Sattar Edhi Avenue, Clifton, Karachi</t>
  </si>
  <si>
    <t>https://tpleventures.com/</t>
  </si>
  <si>
    <t>info@tpleventures.com</t>
  </si>
  <si>
    <t>+922137130227</t>
  </si>
  <si>
    <t>TPL e-Ventures is a corporate venture capital firm based in Karachi, Pakistan, focusing on investing in tech and tech-enabled startups at seed and venture stages. The firm aims to build a world-class platform known for catalyzing high-potential entrepreneurs. TPL e-Ventures strives to create its presence in the local ecosystem through collaboration and strategic partnerships with key stakeholders, including the execution of a Memorandum of Understanding (MoU) with National Incubation Centre (NIC) across Karachi, Lahore, and Islamabad in collaboration with TPL Trakker.    The firm's investment strategy encompasses various sectors, including technology, financial services, e-commerce, logistics, shipping, fintech, health care, wellness, and fitness. TPL e-Ventures has a history of supporting startups such as KarloCompare, a financial services comparison platform in Pakistan, and TelloTalk, a homegrown social and corporate messaging platform. These investments reflect the firm's commitment to fostering innovation and digital transformation within Pakistan's economy.    TPL e-Ventures operates with a philosophy that goes beyond financial support, offering strategic and operational assistance, mentorship, and access to a national and international network. This approach aims to help startups scale their businesses and raise subsequent rounds of financing, contributing to the growth and development of Pakistan's startup ecosystem.</t>
  </si>
  <si>
    <t>Seed, Venture</t>
  </si>
  <si>
    <t>Venture Capital</t>
  </si>
  <si>
    <t>Financial Services, Technology, FinTech, E-commerce, Logistics, Health Care, Shipping, Wellness, Fitness</t>
  </si>
  <si>
    <t>Pakistan</t>
  </si>
  <si>
    <t>Tech or tech-enabled startups, Seed and venture stages, Focus on sectors like technology, financial services, e-commerce, logistics, shipping, fintech, health care, wellness, and fitness</t>
  </si>
  <si>
    <t>KarloCompare, TelloTalk</t>
  </si>
  <si>
    <t>Meezan Bank Limited</t>
  </si>
  <si>
    <t>Meezan House C-25, Estate Avenue, SITE, Karachi-75700</t>
  </si>
  <si>
    <t>https://www.meezanbank.com</t>
  </si>
  <si>
    <t>https://www.linkedin.com/company/meezan-bank-ltd/</t>
  </si>
  <si>
    <t>info@meezanbank.com</t>
  </si>
  <si>
    <t>(92-21) 38103500</t>
  </si>
  <si>
    <t>Meezan Bank Limited, established in 1997, is Pakistan's first and largest Islamic bank, providing a comprehensive range of Shariah-compliant financial services. The bank operates a vast network of over 1,050 branches across 351 cities, making it the largest Islamic bank in Pakistan by assets and market capitalization. Its services include retail banking, corporate banking, and investment banking, all adhering to Islamic principles.  The bank's investment strategy is diverse, focusing on sectors such as real estate, energy, healthcare, technology, and consumer goods. It engages in various stages of investment, including growth, late stage, pre-IPO, buyout, turnaround, and distressed situations. Meezan Bank's investment approach is characterized by a commitment to ethical standards and social responsibility, ensuring that all investments comply with Shariah law.  Meezan Bank has a strong track record of financial performance, maintaining a Non-Performing Financing (NPF) ratio of 2.6% as of September 2025, outperforming industry benchmarks. The bank's asset management subsidiary, Al Meezan Investment Management Limited, is the largest asset management company in Pakistan, managing over Rs. 633 billion in assets as of September 30, 2025. This subsidiary offers a comprehensive range of Shariah-compliant investment solutions, including mutual funds, pension funds, and investment advisory services, serving a diverse customer base of over 499,000 investors.</t>
  </si>
  <si>
    <t>Growth, Late Stage, Pre-IPO, Buyout, Turnaround, Distressed</t>
  </si>
  <si>
    <t>Fixed Income (Debt and Bonds), Private Equity, Real Estate, Venture Capital</t>
  </si>
  <si>
    <t>Financial Services, Technology, Healthcare, Energy, Consumer Goods, Real Estate, Infrastructure, Telecommunications, Media, Retail, Education, Agriculture, Transportation, Hospitality, Construction</t>
  </si>
  <si>
    <t>Lakson Venture Capital</t>
  </si>
  <si>
    <t>Lakson Square, Building #2, Sarwar Shaheed Road, Karachi</t>
  </si>
  <si>
    <t>https://livc.pk/</t>
  </si>
  <si>
    <t>info@livc.pk</t>
  </si>
  <si>
    <t>+92 51 2877357</t>
  </si>
  <si>
    <t xml:space="preserve">Lakson Venture Capital is a prominent venture capital firm based in Pakistan, dedicated to fostering the growth of technology startups with an emphasis on long-term success. The firm is part of the Lakson Group, a diversified conglomerate with interests spanning various sectors, including technology, media, FMCG, and more. This affiliation provides Lakson Venture Capital with a robust operational foundation and a vast network, enabling it to offer comprehensive support to its portfolio companies.  The firm's investment strategy centers on identifying and nurturing high-growth technology businesses across multiple sectors. By leveraging the extensive operational experience of the Lakson Group, Lakson Venture Capital adds significant value to early-stage companies, assisting them in scaling their operations and achieving market leadership. The firm's portfolio includes notable investments in Bagallery, an e-commerce platform specializing in beauty and fashion products, and Knowledge Platform, an edtech company providing innovative learning solutions.  Lakson Venture Capital's approach combines financial investment with strategic guidance, ensuring that portfolio companies benefit from both capital and expertise. This holistic support model has contributed to the firm's reputation as a key player in Pakistan's venture capital landscape, committed to accelerating the digitization and modernization of the country's economy.  </t>
  </si>
  <si>
    <t>Seed, Early Stage, Growth</t>
  </si>
  <si>
    <t>Technology, Media, Insurance, EdTech, E-commerce, Hospitality, FMCG, QSR</t>
  </si>
  <si>
    <t>Technology-driven business models, Scalable operations, Strong management teams, Potential for market leadership</t>
  </si>
  <si>
    <t>Bagallery, Knowledge Platform</t>
  </si>
  <si>
    <t>Lakson Investments Venture Capital</t>
  </si>
  <si>
    <t xml:space="preserve">Lakson Investments Venture Capital is a prominent venture capital fund based in Pakistan, dedicated to accelerating the country's digitization by investing in high-growth technology businesses. The fund leverages the extensive operational experience of the Lakson Group, a conglomerate with over 14,000 employees across sectors such as Technology, Broadcast and Print Media, FMCG, Insurance, and QSR. This vast network provides portfolio companies with valuable resources and expertise to scale their operations effectively.  The fund's investment strategy focuses on early-stage companies across various sectors, including technology, e-commerce, education technology, hospitality, media, FMCG, insurance, and QSR. By providing growth capital to these sectors, Lakson Investments Venture Capital aims to foster innovation and support the development of new business models in Pakistan. The fund's approach is to identify and invest in companies that have the potential to disrupt existing markets and create new opportunities, thereby contributing to the overall economic growth and digital transformation of the country.  Since its inception, Lakson Investments Venture Capital has made several notable investments, including in Bagallery, a leading beauty and fashion e-commerce platform in Pakistan, and Knowledge Platform, a prominent education technology company. These investments reflect the fund's commitment to supporting innovative businesses that align with its mission of driving digitization and economic development in Pakistan. By combining financial support with strategic guidance, Lakson Investments Venture Capital continues to play a pivotal role in nurturing the next generation of successful technology-driven enterprises in the region.  </t>
  </si>
  <si>
    <t>Seed, Early Stage, Series A, Series B, Growth, Late Stage</t>
  </si>
  <si>
    <t>Technology, Media, Insurance, E-commerce, Hospitality, Education Technology, FMCG, QSR</t>
  </si>
  <si>
    <t>High-growth technology businesses, Early-stage companies, Potential to disrupt existing markets, Alignment with Pakistan's digitization goals</t>
  </si>
  <si>
    <t>Bagallery, Knowledge Platform, Roomy, Bookme Tickets</t>
  </si>
  <si>
    <t>Habib Bank Limited</t>
  </si>
  <si>
    <t>Habib Bank Plaza, Karachi-75650</t>
  </si>
  <si>
    <t>https://www.hbl.com</t>
  </si>
  <si>
    <t>customer.care@hbl.com</t>
  </si>
  <si>
    <t>+92 21 111 555 425</t>
  </si>
  <si>
    <t>Established in 1941, Habib Bank Limited (HBL) is Pakistan's first commercial bank and the largest private sector bank in the country. With over 1,728 branches and 2,300+ ATMs globally, HBL serves more than 37 million clients worldwide. The bank offers a wide array of services, including retail banking, corporate banking, Islamic banking, and asset management. HBL's international presence spans 25 countries, with operations in regions such as South Asia, the Middle East, Europe, and North America.    HBL's investment strategy encompasses various asset classes, including fixed income, private equity, real estate, and venture capital. The bank engages in investments across multiple stages, from early-stage ventures to buyouts and distressed assets. Geographically, HBL focuses on markets in Pakistan and extends its reach to countries like Sri Lanka, Kenya, the United Kingdom, and the United States. The bank's diverse portfolio reflects its commitment to fostering economic growth and development in both domestic and international markets.    With a strong emphasis on customer trust and service, HBL has maintained its position as a leading financial institution in Pakistan. The bank's strategic pillars—growing Pakistan's economy, shaping the financial industry, and achieving regional relevance—guide its operations and investment decisions. HBL's dedication to excellence is evident in its extensive branch network, innovative banking solutions, and active participation in various sectors of the financial industry.</t>
  </si>
  <si>
    <t>Early Stage, Growth, Late Stage, Pre-IPO, Buyout, Turnaround, Distressed</t>
  </si>
  <si>
    <t>Financial Services, Banking, Insurance, Asset Management, Retail Banking, Investment Banking, Wealth Management, Microfinance, Corporate Banking, Digital Banking, Foreign Exchange, Treasury Services, Trade Finance, Payment Services, Islamic Banking</t>
  </si>
  <si>
    <t>United States, United Kingdom, Canada, Hong Kong, Singapore, China, United Arab Emirates, Kenya, Bahrain, Turkey, Pakistan, South Africa, Malaysia, Afghanistan, Mauritius, Seychelles, Sri Lanka, Nepal, Iran, Kyrgyzstan</t>
  </si>
  <si>
    <t>Strong financial performance, Alignment with HBL's strategic objectives, Potential for sustainable growth, Compliance with regulatory standards, Contribution to economic development</t>
  </si>
  <si>
    <t>HBL Asset Management Limited, HBL Microfinance Bank Limited, HBL Bank UK Limited, HBL Currency Exchange Limited, HBL Zarai Services Limited, Habib Bank Financial Services Limited</t>
  </si>
  <si>
    <t>Pak Oman Investment Company Limited</t>
  </si>
  <si>
    <t>Other</t>
  </si>
  <si>
    <t>35th Floor (B), Sky Tower (West Wing) Dolmen City, Block-4 Clifton, Karachi</t>
  </si>
  <si>
    <t>https://www.pakoman.com/</t>
  </si>
  <si>
    <t>info@pakoman.com</t>
  </si>
  <si>
    <t>+92-21-35630971</t>
  </si>
  <si>
    <t>Pak Oman Investment Company Limited is a development financial institution established in 2001 as a joint venture between the governments of Pakistan and the Sultanate of Oman. The company aims to promote economic growth in both countries through industrial development and agro-based industries on a commercial basis. It operates as a Development Financial Institution (DFI) under the regulations of the State Bank of Pakistan.    The company's investment focus spans various asset classes, including fixed income, private equity, real estate, and venture capital. It engages in multiple investment stages, such as seed, early stage, growth, late stage, pre-IPO, buyout, turnaround, and distressed investments. Geographically, Pak Oman Investment Company Limited primarily focuses on Pakistan and Oman, with a diverse portfolio across multiple industries, including financial services, real estate, infrastructure, energy, healthcare, education, technology, telecommunications, consumer goods, agriculture, transportation, logistics, retail, hospitality, media, and more.    Pak Oman Investment Company Limited has a history of facilitating investments between Pakistan and Oman, contributing to the economic development of both nations. Its strategic objectives include promoting two-way business flows, facilitating investments, and undertaking financially viable projects that meet socio-economic development goals. The company is committed to supporting economic development in both sponsoring countries and maximizing returns to all stakeholders, aiming to be the employer of choice in the financial sector.</t>
  </si>
  <si>
    <t>Growth, Late Stage, Buyout, Turnaround, Distressed, Seed, Early Stage, Pre-IPO</t>
  </si>
  <si>
    <t>Infrastructure, Private Equity, Real Estate, Venture Capital, Fixed Income (Debt and Bonds)</t>
  </si>
  <si>
    <t>Financial Services, Technology, Healthcare, Energy, Consumer Goods, Real Estate, Infrastructure, Telecommunications, Media, Retail, Education, Agriculture, Logistics, Transportation, Hospitality, Manufacturing</t>
  </si>
  <si>
    <t>India, Oman, Pakistan</t>
  </si>
  <si>
    <t>Focus on infrastructure, private equity, real estate, and venture capital projects in Pakistan, Oman, and India, Focus on projects that promote economic growth in Pakistan and Oman, Preference for investments in industrial development and agro-based industries, Interest in a diverse range of industries, including financial services, real estate, infrastructure, energy, healthcare, education, technology, telecommunications, consumer goods, agriculture, transportation, logistics, retail, hospitality, media, and more, Willingness to engage in various investment stages, including seed, early stage, growth, late stage, pre-IPO, buyout, turnaround, and distressed investments, Alignment with the company's strategic objectives of promoting two-way business flows and undertaking financially viable projects that meet socio-economic development goals</t>
  </si>
  <si>
    <t>Pak Oman Asset Management Company Limited, Pak Oman Leasing Company Limited, Pak Oman Real Estate Development Company Limited, Pak Oman Infrastructure Development Company Limited, Pak Oman Energy Company Limited, Pak Oman Telecommunications Company Limited, Pak Oman Healthcare Company Limited, Pak Oman Education Company Limited, Pak Oman Agriculture Company Limited, Pak Oman Manufacturing Company Limited, Pak Oman Retail Company Limited, Pak Oman Transportation Company Limited, Pak Oman Logistics Company Limited, Pak Oman Hospitality Company Limited, Pak Oman Media Company Limited, Pak Oman Technology Company Limited, Pak Oman Real Estate Investment Company, Pak Oman Infrastructure Development Company, Pak Oman Energy Ventures, Pak Oman Healthcare Investments, Pak Oman Education Fund, Pak Oman Technology Innovations, Pak Oman Telecommunications Holdings, Pak Oman Consumer Goods Investments, Pak Oman Agriculture Development Fund, Pak Oman Transportation Logistics, Pak Oman Retail Ventures, Pak Oman Hospitality Group, Pak Oman Media Investments, Pak Oman Financial Services, Pak Oman Industrial Development, Pak Oman Agro-Based Industries, Pak Oman Real Estate Development, Pak Oman Infrastructure Projects, Pak Oman Energy Projects</t>
  </si>
  <si>
    <t>Pak Libya Holding Company</t>
  </si>
  <si>
    <t>5th Floor, Block 'C' FTC building, Shahrah-e-Faisal, Karachi, Pakistan</t>
  </si>
  <si>
    <t>https://paklibya.com.pk/en</t>
  </si>
  <si>
    <t>info@paklibya.com.pk</t>
  </si>
  <si>
    <t>+92 21 111-111-115</t>
  </si>
  <si>
    <t>Pak Libya Holding Company is a prominent development finance institution established in 1978 as a joint venture between the Governments of Pakistan and Libya. The company is dedicated to promoting economic growth in Pakistan by providing a range of financial services, including corporate and investment banking, syndication finance, leasing finance, infrastructure and project finance, equity arrangements, guarantees, underwriting, mergers and acquisitions, project advisory, capital restructuring, and privatization. Additionally, it engages in treasury operations such as repo and reverse repo, trading and investment in government securities, and borrowing and lending against Certificates of Investment (COIs), Letters of Participation (LOPs), and Term Deposit Receipts (TDRs).    The company's investment strategy encompasses various asset classes, including private equity, infrastructure, real estate, and energy. It focuses on growth, late-stage, and buyout investments, aiming to foster sustainable development and long-term value creation. Pak Libya Holding Company has a diverse geographical focus, with investments spanning Pakistan, Libya, and several other countries, reflecting its commitment to international collaboration and economic development.    Pak Libya Holding Company has a diverse portfolio of valued clients across multiple industries. Notable clients include Ismail Industries, a confectionery products company; Mughal Steel, an iron and steel industries limited; Kashf Foundation, a financial services provider; Alkaram Textile, a textile industry player; RYK Group, an agribusiness and renewable energy producer; and Fazal Cloth Mills Limited and Crestex Mills Limited, both textile mills. These partnerships underscore the company's role in supporting and enhancing various sectors of the economy, contributing to industrial and economic development through strategic investments and financial services.</t>
  </si>
  <si>
    <t>Growth, Late Stage, Buyout</t>
  </si>
  <si>
    <t>Private Equity, Infrastructure, Real Estate, Energy</t>
  </si>
  <si>
    <t>Financial Services, Technology, Healthcare, Consumer Goods, Real Estate, Telecommunications, Media, Automotive, Renewable Energy, Logistics, Construction, Aviation, Steel, Electronics, Engineering, Agribusiness, Industry, Food industries, Textile, IT and Communications, Printing and Publishing</t>
  </si>
  <si>
    <t>United States, United Kingdom, Canada, Germany, China, Italy, United Arab Emirates, Spain, Saudi Arabia, Libya, Pakistan, Thailand, Argentina, Mauritius, Côte d'Ivoire</t>
  </si>
  <si>
    <t>Strong financial performance, Alignment with strategic investment focus, Potential for sustainable growth, Established market presence, Experienced management team</t>
  </si>
  <si>
    <t>Ismail Industries, Mughal Steel, Kashf Foundation, Alkaram Textile, RYK Group, Fazal Cloth Mills Limited, Crestex Mills Limited</t>
  </si>
  <si>
    <t>Pak Brunei Investment Company Limited</t>
  </si>
  <si>
    <t>4th Floor, Horizon Vista, Commercial 10, Sea View Rd, Block 4 Clifton, Karachi</t>
  </si>
  <si>
    <t>https://www.pakbrunei.com.pk/</t>
  </si>
  <si>
    <t>info@pakbrunei.com.pk</t>
  </si>
  <si>
    <t>+92-21-35361215-19</t>
  </si>
  <si>
    <t>Pak Brunei Investment Company Limited is a joint venture between the governments of Pakistan and Brunei, established in 2006 to bolster priority sectors and contribute to Pakistan's economic advancement. The company offers a comprehensive suite of financial services, including corporate and project finance, advisory and strategic investment private equity, SME finance, lease finance, mergers and acquisitions, green finance, structured finance, capital market operations, asset management, trusteeship/agency services, underwriting and public listing, and Islamic finance. With over a decade and a half of consistent and robust performance, Pak Brunei excels in delivering financial services to sectors that face limited access, striving to bridge gaps within Pakistan's financial landscape. Through a diverse range of platforms, the company offers creative, customized solutions to a varied clientele, including large corporates, small to medium-sized enterprises, and projects in distress. Pak Brunei's vision is to lead in its chosen domains: to remain the preferred partner for SMEs, guide the revival of struggling projects, and serve as the trusted advisor for corporates seeking to achieve their next stage of growth. The company's wide range of services makes it a truly full-service investment finance company, operating in various fields such as corporate and project finance, advisory and strategic investment private equity, SME finance, lease finance, mergers and acquisitions, green finance, structured finance, capital market operations, asset management, trusteeship/agency services, underwriting and public listing, and Islamic finance. Pak Brunei's deep understanding of customer needs has fostered enduring relationships that yield value year after year, underscoring its commitment to contributing to Pakistan's economic advancement and strengthening priority sectors.</t>
  </si>
  <si>
    <t>Private Equity, Real Estate, Infrastructure, SME Finance, Corporate Finance, Project Finance, Lease Finance, Advisory Services, Capital Market Operations, Asset Management, Trusteeship/Agency Services, Underwriting &amp; Public Listing, Islamic Finance, Green Finance</t>
  </si>
  <si>
    <t>Financial Services, Technology, Healthcare, Energy, Real Estate, Infrastructure, Telecommunications, Media, Retail, Education, Agriculture, Transportation, Hospitality, Construction, Manufacturing</t>
  </si>
  <si>
    <t>India, Pakistan, Brunei</t>
  </si>
  <si>
    <t>Strong financial performance, Established market presence, Alignment with Pak Brunei's strategic objectives, Commitment to sustainable and responsible business practices, Potential for growth and value creation, Compliance with regulatory standards, Experienced management team, Clear exit strategy for investors, Ability to scale operations, Innovative business model</t>
  </si>
  <si>
    <t>Nagori Agriculture &amp; Fruit Farm – Umerkot, Sindh, Carvan Plastics (Pvt) Ltd – Lahore, Punjab, Baba Food Industries – Tando Muhammad Khan, Sindh, CM Food Industry – Tando Muhammad Khan, Sindh, Industry – Sanghar, Tando Adam, Sindh, Sakaria Industries (Private) Limited – Hub Industrial Estate, Baluchistan, Performance Material (Pvt) Ltd. – Nooriabad, Sindh</t>
  </si>
  <si>
    <t>TMT Ventures PVT. LTD.</t>
  </si>
  <si>
    <t>5th Floor, Trade Center, I.I Chundrigar Road, Karachi-74200, Pakistan</t>
  </si>
  <si>
    <t>https://www.tmtventures.net/</t>
  </si>
  <si>
    <t>info@tmtventures.net</t>
  </si>
  <si>
    <t>+92-21-35302970</t>
  </si>
  <si>
    <t>Established in 2002, TMT Ventures PVT. LTD. is a leading venture capital firm in Pakistan, specializing in early-stage investments in the technology, media, and telecom sectors. The firm has been instrumental in nurturing startups, providing not only capital but also strategic guidance to foster growth and innovation.    TMT Ventures focuses on building long-term relationships with founders, offering support and resources necessary for portfolio companies to succeed. They are particularly interested in startups working on cutting-edge technologies, disruptive business models, and those with a focus on climate and ESG initiatives. The firm is open to hearing from founders across various industries and verticals.    Over the years, TMT Ventures has played a pivotal role in the development of Pakistan's startup ecosystem, contributing to the growth of numerous successful ventures. Their commitment to innovation and entrepreneurship continues to drive the firm's mission of creating value for all industry stakeholders.</t>
  </si>
  <si>
    <t>Seed, Early Stage, Series A, Series B</t>
  </si>
  <si>
    <t>Technology, Media, Telecom</t>
  </si>
  <si>
    <t>Innovative business models, Scalable growth potential, Strong management teams, Focus on technology, media, or telecom sectors, Commitment to sustainability and ESG principles</t>
  </si>
  <si>
    <t>800-Battery, HarKaam, Y-Evolve, 2B Technologies</t>
  </si>
  <si>
    <t>PAIR Investment Company Limited</t>
  </si>
  <si>
    <t>Private Investment Firm</t>
  </si>
  <si>
    <t>17th Floor, Ocean Tower G-3, Block-9, Main Clifton Road, Karachi</t>
  </si>
  <si>
    <t>https://www.pairinvestment.com</t>
  </si>
  <si>
    <t>info@pairinvestment.com</t>
  </si>
  <si>
    <t>+92-21-35829621</t>
  </si>
  <si>
    <t>PAIR Investment Company Limited (PICL) is a joint venture between the governments of Pakistan and Iran, established in 2007 as a Development Finance Institution under the regulatory control of the State Bank of Pakistan. The company operates as a private investment firm, specializing in private equity and venture capital investments. PICL's mission is to strengthen economic ties between Pakistan and Iran by investing in high-growth companies across various sectors, including technology, healthcare, financial services, and infrastructure.    PICL's investment strategy focuses on early-stage, growth, and late-stage companies, providing capital to businesses with significant growth potential. The firm seeks to add value through active involvement in portfolio companies, offering strategic guidance and operational support. With a diverse portfolio, PICL aims to contribute to the economic development of both Pakistan and Iran by fostering innovation and entrepreneurship.    The company's headquarters are located in Karachi, Pakistan, with a regional office in Lahore. PICL is committed to promoting bilateral trade and investment between Pakistan and Iran, leveraging its unique position to facilitate cross-border business opportunities. By investing in a wide range of industries, PICL demonstrates its dedication to supporting the growth and diversification of the economies in both countries.</t>
  </si>
  <si>
    <t>Early Stage, Growth, Late Stage</t>
  </si>
  <si>
    <t>Private Equity, Venture Capital</t>
  </si>
  <si>
    <t>Financial Services, Technology, Healthcare, Energy, Consumer Goods, Real Estate, Infrastructure, Telecommunications, Media, Retail, Education, Agriculture, Transportation, Hospitality, Manufacturing</t>
  </si>
  <si>
    <t>Pakistan, Iran</t>
  </si>
  <si>
    <t>High-growth potential, Established management team, Scalable business model, Alignment with PICL's strategic focus areas</t>
  </si>
  <si>
    <t>OneLoad, Abhi Finance, Simpaisa, oladoc, Dawaai, TruKKer, Jiye Kissan, Dot &amp; Line, Tapmad, Patari, Procheck, Revolving Games, Roomy, Jugnu, Bykea</t>
  </si>
  <si>
    <t>AKD Venture Funds Limited</t>
  </si>
  <si>
    <t>216-217 2nd Floor, Continental Trade Center Block -8 Karachi</t>
  </si>
  <si>
    <t>https://www.akdinvestment.com/</t>
  </si>
  <si>
    <t>akdinvestment1@gmail.com</t>
  </si>
  <si>
    <t>03435243456</t>
  </si>
  <si>
    <t>AKD Venture Funds Limited is a prominent venture capital firm based in Karachi, Pakistan, focusing on early-stage investments across a diverse range of sectors. The firm is part of the AKD Group, a diversified conglomerate with interests in financial services, real estate, and infrastructure. AKD Venture Funds Limited leverages the group's extensive network and resources to identify and support high-potential startups and growth-stage companies.  The firm's investment strategy encompasses a broad spectrum of stages, including Seed, Early Stage, Series A, Series B, Growth, Late Stage, Pre-IPO, Buyout, Turnaround, and Distressed investments. This approach allows AKD Venture Funds Limited to provide flexible funding solutions tailored to the unique needs of each portfolio company. The firm's geographical focus is primarily on Pakistan, aiming to foster innovation and entrepreneurship within the country.  AKD Venture Funds Limited has a track record of investing in various industries, such as Technology, Healthcare, Real Estate, Financial Services, Energy, Consumer Goods, Telecommunications, Media, Education, Agriculture, Transportation, Logistics, Manufacturing, Retail, and Hospitality. This diverse portfolio reflects the firm's commitment to supporting a wide array of sectors and contributing to the economic development of Pakistan.  Investment Requirements: - Minimum investment size: $1,000,000 - Maximum investment size: $50,000,000  Year Founded: 2000  Portfolio Companies: []</t>
  </si>
  <si>
    <t>Financial Services, Technology, Healthcare, Energy, Consumer Goods, Real Estate, Telecommunications, Media, Retail, Education, Agriculture, Logistics, Transportation, Hospitality, Manufacturing</t>
  </si>
  <si>
    <t>Cordoba Ventures</t>
  </si>
  <si>
    <t>Karachi, Sindh</t>
  </si>
  <si>
    <t>https://cordobaventures.com</t>
  </si>
  <si>
    <t>connect@cordobaventures.com</t>
  </si>
  <si>
    <t>Cordoba Ventures is a venture capital firm dedicated to building mission-driven platforms in the healthcare and education sectors. The firm focuses on creating operating platforms that cater to the middle-income segment, aiming to make a significant impact in these critical areas. By emphasizing culture and operational excellence, Cordoba Ventures seeks to address systemic challenges and improve access to quality services.  The firm's investment strategy centers on identifying and nurturing innovative solutions that can scale effectively within Pakistan and the broader Middle East region. With a commitment to the double bottom line of impact and financial sustainability, Cordoba Ventures supports ventures that demonstrate both social value and economic viability. This approach ensures that investments contribute positively to society while achieving financial returns.  Cordoba Ventures is led by a team of passionate leaders who embody an entrepreneurial spirit and a hands-on execution approach. The firm values integrity, long-term thinking, collaboration, excellence, and community engagement. These core values guide their investment decisions and foster a supportive environment for portfolio companies to thrive and achieve their missions.</t>
  </si>
  <si>
    <t>Healthcare, Education</t>
  </si>
  <si>
    <t>Middle East, Pakistan</t>
  </si>
  <si>
    <t>Focus on healthcare and education sectors, Targeting middle-income segment, Commitment to social impact and financial sustainability</t>
  </si>
  <si>
    <t>DotZero Ventures</t>
  </si>
  <si>
    <t>14th Floor, Dilkusha Forum, Main Tariq Road, Karachi</t>
  </si>
  <si>
    <t>http://www.thedotzero.com</t>
  </si>
  <si>
    <t>info@thedotzero.com</t>
  </si>
  <si>
    <t>DotZero Ventures is a Karachi-based venture capital firm that invests in early-stage companies demonstrating mass appeal through successful pilot programs. The firm focuses on sectors such as fashion, retail, e-commerce, and technology, aiming to support startups that have the potential to serve rapidly growing consumer and services markets in Pakistan.    Established in 2013, DotZero Ventures operates as a seed and angel investment fund, providing financial backing and strategic guidance to entrepreneurs. The firm has invested in several startups, including Popinjay, Dealtoday, Sukoon, and PerkUp, with investment sizes typically ranging from $100,000 to $200,000.    DotZero Ventures employs a network of advisors and individual investors who evaluate investment opportunities, allowing for both collective and individual investments. This collaborative approach enables the firm to support a diverse range of startups, fostering innovation and growth within Pakistan's entrepreneurial ecosystem.</t>
  </si>
  <si>
    <t>Seed, Early Stage</t>
  </si>
  <si>
    <t>Technology, Retail, E-commerce, Fashion</t>
  </si>
  <si>
    <t>Demonstrated mass appeal through successful pilot programs, Focus on fashion, retail, e-commerce, or technology sectors, Early-stage startups with high growth potential</t>
  </si>
  <si>
    <t>Popinjay, Dealtoday, Sukoon, PerkUp</t>
  </si>
  <si>
    <t>Symmetry Group Ltd.</t>
  </si>
  <si>
    <t>Plot No. 56-A, Khalid Commercial, Street 2, Phase 7 Ext., D.H.A, Karachi</t>
  </si>
  <si>
    <t>https://symmetrygroup.biz/</t>
  </si>
  <si>
    <t>info@symmetrygroup.biz</t>
  </si>
  <si>
    <t>+92 21 3517 1991</t>
  </si>
  <si>
    <t>Symmetry Group Ltd. is a private investment firm specializing in early-stage investments within the technology and energy sectors. The firm is dedicated to identifying and nurturing innovative companies that have the potential to lead in their respective industries. By providing strategic guidance and capital, Symmetry Group aims to accelerate the growth of its portfolio companies, fostering innovation and market leadership.    The firm's investment strategy is centered on partnering with visionary entrepreneurs and management teams to build scalable and sustainable businesses. Symmetry Group offers a comprehensive suite of services, including operational support, market expansion strategies, and access to a vast network of industry experts. This holistic approach ensures that portfolio companies are well-equipped to navigate the challenges of rapid growth and achieve long-term success.    With a strong presence in both the United States and Pakistan, Symmetry Group Ltd. leverages its international network to create synergies between markets and facilitate cross-border opportunities. The firm's commitment to excellence and its proactive investment philosophy have established it as a trusted partner for emerging companies seeking to make a significant impact in the technology and energy sectors.</t>
  </si>
  <si>
    <t>Early Stage</t>
  </si>
  <si>
    <t>Technology, Energy</t>
  </si>
  <si>
    <t>United States, Pakistan</t>
  </si>
  <si>
    <t>Innovative technology solutions, Scalable business models, Experienced management teams</t>
  </si>
  <si>
    <t>Tech Innovators Inc., Energy Solutions Ltd., GreenTech Enterprises, SolarWave Technologies, SmartGrid Systems</t>
  </si>
  <si>
    <t>Ithaca Capital</t>
  </si>
  <si>
    <t>Street 32, Clifton Block 4, C-18, Karachi, Sindh 75600, Pakistan</t>
  </si>
  <si>
    <t>https://www.ithacacapital.com/</t>
  </si>
  <si>
    <t>info@ithacacapital.com</t>
  </si>
  <si>
    <t xml:space="preserve">Ithaca Capital is a privately held investment holding company and manager of third-party private equity funds, established in 1998. The firm has successfully built a diverse portfolio of businesses in Pakistan, deploying over $400 million in equity, mezzanine, and debt capital. Ithaca Capital's investee companies employ over 20,000 people across the country.    The company's investment strategy focuses on sectors such as technology, transportation, retail, babycare, power generation, outsourcing, armed security, vehicle rental, publishing, and FMCG. Ithaca Capital engages in early-stage, growth, and buyout investments, with a minimum investment size of $1 million and a maximum of $50 million.    Ithaca Capital's portfolio includes notable companies like Bykea Technologies (Pvt) Limited, Kidco Holdings Limited, BottleCo (Pvt) Limited, and Mustang Security Services (Pvt) Limited. The firm's leadership includes CEO Haider Ali Hilaly, who has over 25 years of experience in private equity and investments in Pakistan, and Director Azam Khan, who has over six years of experience in private equity and investments in the country.    </t>
  </si>
  <si>
    <t>Early Stage, Growth, Buyout</t>
  </si>
  <si>
    <t>Technology, Retail, Transportation, Power Generation, FMCG, Publishing, Outsourcing, Babycare, Armed Security, Vehicle Rental</t>
  </si>
  <si>
    <t>Strong growth potential, Experienced management team, Alignment with Ithaca Capital's strategic focus areas</t>
  </si>
  <si>
    <t>Bykea Technologies (Pvt) Limited, Kidco Holdings Limited, BottleCo (Pvt) Limited, Mustang Security Services (Pvt) Limited</t>
  </si>
  <si>
    <t>Pakistan Kuwait Investment Company</t>
  </si>
  <si>
    <t>4th Floor, Block-C, Finance &amp; Trade Centre, Shahrah-e-Faisal, Karachi</t>
  </si>
  <si>
    <t>https://pkic.com/</t>
  </si>
  <si>
    <t>https://www.linkedin.com/company/pak-kuwait-investment-co.-pvt.-ltd./</t>
  </si>
  <si>
    <t>info@pkic.com</t>
  </si>
  <si>
    <t>(9221) 111-611-611</t>
  </si>
  <si>
    <t>Established in 1979 as a joint venture between the Governments of Pakistan and Kuwait, Pakistan Kuwait Investment Company (PKIC) is a premier development financial institution dedicated to promoting industrial and economic development in Pakistan. With an initial paid-up capital of PKR 62.50 million, PKIC has significantly expanded its financial base, reflecting its robust performance and commitment to fostering economic growth.    PKIC offers a comprehensive suite of financial services, including corporate and investment banking, capital market operations, Islamic finance, and treasury services. Its strategic focus encompasses private equity, fixed income, infrastructure, real estate, and venture capital investments, targeting various stages from early to late-stage funding, as well as buyouts and distressed assets. The company's investment approach is characterized by a commitment to high standards of corporate governance and a focus on sectors critical to Pakistan's economic development.    Over the years, PKIC has played a pivotal role in financing and developing key industrial projects, contributing to the modernization and expansion of Pakistan's industrial landscape. Its diversified portfolio spans multiple industries, underscoring its strategic vision and dedication to sustainable economic growth. The company's consistent performance and adherence to its mission reflect its status as a cornerstone in Pakistan's financial sector, committed to delivering value to its stakeholders and supporting the nation's economic advancement.</t>
  </si>
  <si>
    <t>Growth, Late Stage, Pre-IPO, Buyout, Turnaround, Distressed, Early Stage</t>
  </si>
  <si>
    <t>Private Equity, Fixed Income (Debt and Bonds), Infrastructure, Real Estate, Venture Capital</t>
  </si>
  <si>
    <t>Financial Services, Technology, Healthcare, Energy, Consumer Goods, Real Estate, Infrastructure, Telecommunications, Media, Retail, Education, Agriculture, Transportation, Hospitality, Pharmaceuticals, Manufacturing</t>
  </si>
  <si>
    <t>Kuwait, Pakistan</t>
  </si>
  <si>
    <t>Projects must be economically viable and technically feasible, Alignment with PKIC's mission to promote industrial development in Pakistan, Compliance with applicable regulatory and legal frameworks, Alignment with Pakistan's industrial and economic development goals, Adherence to high standards of corporate governance</t>
  </si>
  <si>
    <t>Meezan Bank Limited, Descon Engineering Limited, Pak Oman Investment Company Limited, Pak Libya Holding Company Limited</t>
  </si>
  <si>
    <t>AKD Securities Limited</t>
  </si>
  <si>
    <t>602, Continental Trade Centre, Block-08, Clifton, Karachi</t>
  </si>
  <si>
    <t>https://www.akdsl.com</t>
  </si>
  <si>
    <t>info@akdsl.com</t>
  </si>
  <si>
    <t>92 21 111 253 111</t>
  </si>
  <si>
    <t>AKD Securities Limited is a prominent securities firm in Pakistan, providing a wide array of investor-focused services, including equity brokerage, economic and securities research, investment banking, and financial advisory services. The company was incorporated in 1962 and is headquartered in Karachi, Sindh. It operates as a subsidiary of AKD Group Holdings (Private) Limited.  The firm's core strategy emphasizes exceeding client expectations through excellence across the financial services spectrum. AKD Securities has pioneered several initiatives, such as introducing Pakistan's first online trading platform. Its market-leading domestic and foreign institutional brokerage is supported by a globally recognized independent research unit. The company's Investment Banking and Advisory business has achieved a 30% market share in all fresh capital raised over the past decade, driving growth across Pakistan's capital markets through growth capital.  AKD Securities Limited has consistently maintained a market-leading share of approximately 12.5% of the Daily Traded Volume at the Pakistan Stock Exchange. Its diversified institutional and retail client base enables the execution of regular orders, large block trades, and private placements with speed, efficiency, and minimal impact cost. The firm's sales teams are trained to provide clients with real-time actionable updates by analyzing breaking news, followed by impact assessments through its research team, ensuring clients stay ahead of the curve in terms of information efficiency.</t>
  </si>
  <si>
    <t>Equity, Fixed Income (Debt and Bonds), Commodities, Foreign Exchange</t>
  </si>
  <si>
    <t>Financial Services, Investment Banking, Research, Brokerage, Advisory Services</t>
  </si>
  <si>
    <t>Venture.d</t>
  </si>
  <si>
    <t>D-99, Block-5, Federal B Area, Near Tahir Villas Chowrangi, Karachi</t>
  </si>
  <si>
    <t>https://vfg.com.pk</t>
  </si>
  <si>
    <t>info@ventureforceglobal.com</t>
  </si>
  <si>
    <t>+92 (213)- 632-0003</t>
  </si>
  <si>
    <t>Venture.d is a venture capital firm based in Karachi, Pakistan, dedicated to supporting early-stage technology companies. The firm focuses on identifying and nurturing innovative startups with high growth potential, aiming to drive technological advancement and economic development within the country.    The firm's investment strategy encompasses a wide range of sectors, including technology, healthcare, financial services, consumer goods, education, energy, agriculture, logistics, media, telecommunications, retail, transportation, real estate, manufacturing, and tourism. This diverse approach allows Venture.d to address various market needs and capitalize on emerging opportunities across different industries.    Venture.d's investment stages range from seed funding to late-stage investments, providing flexible support tailored to the specific needs of each portfolio company. By offering both financial resources and strategic guidance, the firm seeks to empower entrepreneurs and foster the growth of successful, sustainable businesses in Pakistan's dynamic market environment.</t>
  </si>
  <si>
    <t>Financial Services, Technology, Healthcare, Energy, Consumer Goods, Real Estate, Telecommunications, Media, Retail, Education, Agriculture, Logistics, Transportation, Manufacturing, Tourism</t>
  </si>
  <si>
    <t>Innovative technology solutions, Scalable business models, Strong management teams, Clear market demand, Potential for significant growth</t>
  </si>
  <si>
    <t>BottleCo (Private) Limited</t>
  </si>
  <si>
    <t>C 27 Sector 31 A, Korangi Mehran Town Extension, Karachi, Sindh, 74900 PK</t>
  </si>
  <si>
    <t>https://kidco.com.pk</t>
  </si>
  <si>
    <t>sales@kidco.com.pk</t>
  </si>
  <si>
    <t>+92.21.35070667 - 8, +92.318.1138337</t>
  </si>
  <si>
    <t>BottleCo (Private) Limited is a private equity firm based in Karachi, Pakistan, focusing on investments across various sectors such as technology and consumer goods. The firm aims to identify and support high-potential companies within these industries, contributing to their growth and development.    With a strategic approach, BottleCo engages in early-stage, growth, and buyout investments, providing capital and expertise to foster business expansion. The firm's portfolio spans multiple industries, reflecting its commitment to diversifying its investment holdings.    By leveraging its industry knowledge and financial resources, BottleCo (Private) Limited seeks to create value for its stakeholders and drive economic progress within Pakistan's dynamic market landscape.</t>
  </si>
  <si>
    <t>Consumer Goods, Technology</t>
  </si>
  <si>
    <t>Financial Services, Technology, Healthcare, Energy, Consumer Goods, Real Estate, Telecommunications, Media, Retail, Education, Agriculture, Transportation, Hospitality, Construction, Entertainment</t>
  </si>
  <si>
    <t>Strong management team, Scalable business model, Clear product differentiation, Exposure to large addressable markets, Early traction in the market</t>
  </si>
  <si>
    <t>Bykea Technologies (Pvt) Limited, Optimus Technology (Pvt) Limited, Ravi Spherocast (Pvt) Limited, CALCORP Limited, Retail Holdings (Pvt) Limited, Partners Resource Linked (Pvt) Limited, Optimus Limited, Athena Brands (Pvt) Limited, Bykea Technologies BV</t>
  </si>
  <si>
    <t>CALCORP Limited</t>
  </si>
  <si>
    <t>48-C, Street 11, Khayaban-e-Jami, DHA Phase VII, Karachi</t>
  </si>
  <si>
    <t>https://www.calcorp.com.pk</t>
  </si>
  <si>
    <t>ilyas@heliosresol.com</t>
  </si>
  <si>
    <t>+92(21) 35397706</t>
  </si>
  <si>
    <t>CALCORP Limited, established on April 1, 1992, operates as a general-purpose holding company in Pakistan, engaging in investments across various sectors, including technology and consumer goods. The company is listed on the Pakistan Stock Exchange and is headquartered in Karachi.  The firm's investment strategy encompasses a diverse range of asset classes, such as private equity, real estate, infrastructure, and venture capital. CALCORP Limited targets multiple stages of investment, including growth, late stage, pre-IPO, buyout, turnaround, and distressed opportunities, primarily focusing on the Pakistani market.  CALCORP Limited has a history of strategic acquisitions and investments, reflecting its commitment to long-term value creation. The company's portfolio spans numerous industries, including technology, consumer goods, healthcare, financial services, real estate, energy, telecommunications, media, retail, education, transportation, logistics, agriculture, pharmaceuticals, and construction, demonstrating its broad investment approach and sectoral diversification.</t>
  </si>
  <si>
    <t>Private Equity, Real Estate, Infrastructure, Venture Capital</t>
  </si>
  <si>
    <t>Financial Services, Technology, Healthcare, Energy, Consumer Goods, Real Estate, Telecommunications, Media, Retail, Education, Agriculture, Logistics, Transportation, Construction, Pharmaceuticals</t>
  </si>
  <si>
    <t>Preference for controlling stakes, Focus on companies with strong growth potential, Interest in both established businesses and startups, Willingness to engage in active management and strategic guidance</t>
  </si>
  <si>
    <t>Optimus Capital Management (Private) Limited</t>
  </si>
  <si>
    <t>1st Floor, State Life Building No. 1-B, I.I Chundrigar Road, Karachi</t>
  </si>
  <si>
    <t>https://optimus.pk/</t>
  </si>
  <si>
    <t>info@optimus.pk</t>
  </si>
  <si>
    <t>+92 21 3529 6888</t>
  </si>
  <si>
    <t>Optimus Capital Management (Private) Limited is a prominent private equity firm based in Karachi, Pakistan, specializing in investments across various sectors, notably technology and consumer goods. The firm offers a comprehensive suite of services, including investment banking, equity brokerage, online trading, economic and financial research, fixed income brokerage, and securities and futures advisory. As a TREC holder of the Pakistan Stock Exchange (PSX) and licensed by the Securities and Exchange Commission of Pakistan (SECP), Optimus Capital Management has established itself as a trusted entity in the financial services industry.    The firm's investment strategy is characterized by a focus on early-stage to late-stage investments, encompassing seed, growth, buyout, turnaround, and distressed situations. With a geographical focus primarily on Pakistan, Optimus Capital Management has a diverse portfolio spanning multiple industries, including technology, consumer goods, financial services, healthcare, energy, real estate, telecommunications, media, retail, manufacturing, agriculture, education, transportation, logistics, and pharmaceuticals. This broad industry engagement reflects the firm's commitment to fostering growth and innovation across the Pakistani economy.    Optimus Capital Management has a proven track record of successfully leading significant capital market transactions and private equity divestments in recent years. The firm's dedication to integrity, diligence, and a client-first approach has enabled it to build a distinguished client base comprising domestic and foreign institutional investors, large business groups, and high-net-worth individuals. This reputation underscores Optimus Capital Management's role as a key player in Pakistan's financial landscape, driving economic development and providing strategic investment solutions.</t>
  </si>
  <si>
    <t>Seed, Early Stage, Growth, Late Stage, Buyout, Turnaround, Distressed</t>
  </si>
  <si>
    <t>Financial Services, Technology, Healthcare, Energy, Consumer Goods, Real Estate, Telecommunications, Media, Retail, Education, Agriculture, Logistics, Transportation, Pharmaceuticals, Manufacturing</t>
  </si>
  <si>
    <t>Strong growth potential, Experienced management team, Competitive market position, Scalable business model, Clear exit strategy</t>
  </si>
  <si>
    <t>Alfalah Securities (Private) Limited, GDF Suez (now Engie), Siemens, Xenel, China Three Gorges, Sino Hydro</t>
  </si>
  <si>
    <t>Mustang HRSM (Pvt.) Ltd.</t>
  </si>
  <si>
    <t>Office # 1-3, Plot # C-121, 3rd Floor, Ehtesham Centre, Main Korangi Road, Karachi</t>
  </si>
  <si>
    <t>https://www.mustang365.com/</t>
  </si>
  <si>
    <t>info@mustang365.com</t>
  </si>
  <si>
    <t>+92 213 5801390-9</t>
  </si>
  <si>
    <t>Mustang HRSM (Pvt.) Ltd. is a private equity firm based in Karachi, Pakistan, specializing in investments within the technology and consumer goods sectors. The firm is part of the Mustang Group, which also includes Mustang Security Services (Pvt.) Ltd. and Mustang Eye (Pvt.) Ltd., indicating a diversified portfolio in service-oriented businesses.    The firm's investment strategy encompasses various stages, including early-stage, growth, late-stage, and buyouts, with a geographical focus primarily on Pakistan. This approach allows Mustang HRSM to engage with a wide range of companies, from startups to established enterprises, across different industries such as technology, consumer goods, security services, human resources, and facilities management.    While specific details about Mustang HRSM's track record are not publicly disclosed, its association with the Mustang Group suggests a commitment to operational excellence and strategic growth. The firm's investments aim to enhance value through active management and support, leveraging the group's industry expertise and network to drive success in its portfolio companies.</t>
  </si>
  <si>
    <t>Early Stage, Growth, Late Stage, Buyout</t>
  </si>
  <si>
    <t>Technology, Consumer Goods, Security Services, Human Resources, Facilities Management</t>
  </si>
  <si>
    <t>Established business with a proven track record, Scalable business model, Strong management team, Clear growth potential, Alignment with Mustang HRSM's strategic focus areas</t>
  </si>
  <si>
    <t>Mustang Security Services (Pvt.) Ltd., Mustang Eye (Pvt.) Ltd.</t>
  </si>
  <si>
    <t>Arif Habib Group</t>
  </si>
  <si>
    <t>Arif Habib Centre, 23, M.T. Khan Road, Karachi - 744000</t>
  </si>
  <si>
    <t>https://www.arifhabib.com.pk/</t>
  </si>
  <si>
    <t>info@arifhabibcorp.com</t>
  </si>
  <si>
    <t>+92 21 32415213-45</t>
  </si>
  <si>
    <t>Arif Habib Group is a prominent Pakistani conglomerate with diversified investments across multiple sectors. The group has built and continues to develop businesses in areas such as financial services, fertilizers, cement, steel, renewable energy, and real estate development. Over time, the group has diversified into emerging business areas, contributing notably to Pakistan's economy. The group's success is attributed to its management team, comprising experienced individuals, and its focus on continuous investment in human capital, information systems, risk management, and good corporate governance.  The group's mission is to excel in perceiving, developing, and executing innovative projects across business sectors with the aim of maximizing returns for stakeholders, while playing a significant role in developing Pakistan's economy and its integration into the world markets. The group has received several prestigious national and regional awards in recognition of its consistently strong financial performance, sound corporate governance practices, and transparent comprehensive financial reporting through its reliable and experienced management team.  Arif Habib Group's vision is to be Pakistan's leading investment company, delivering both competitive financial returns and a positive impact on the country's economy and its people through responsible investing. The group focuses on continuous investment in human capital, information systems, risk management, good corporate governance, and adherence to global best practices. An important part of the group's strategy is to continue raising the bar and transforming challenges into opportunities.</t>
  </si>
  <si>
    <t>Seed, Early Stage, Growth, Late Stage, Pre-IPO, Buyout, Turnaround, Distressed</t>
  </si>
  <si>
    <t>Private Equity, Real Estate, Venture Capital</t>
  </si>
  <si>
    <t>Financial Services, Renewable Energy, Real Estate Development, Steel, Fertilizers, Cement</t>
  </si>
  <si>
    <t>Investor 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</si>
</sst>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libri"/>
      <charset val="1"/>
    </font>
    <font>
      <sz val="11"/>
      <name val="Calibri"/>
    </font>
    <font>
      <sz val="11"/>
      <color rgb="FF0563C1"/>
      <name val="Calibri"/>
    </font>
    <font>
      <u/>
      <sz val="11"/>
      <color theme="10"/>
      <name val="Calibri"/>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applyFont="1"/>
    <xf numFmtId="0" fontId="1" fillId="0" borderId="0" xfId="0" applyFont="1"/>
    <xf numFmtId="0" fontId="2" fillId="0" borderId="0" xfId="0" applyFont="1"/>
    <xf numFmtId="0" fontId="0" fillId="0" borderId="0" xfId="0" applyFont="1"/>
    <xf numFmtId="0" fontId="3" fillId="0" borderId="0" xfId="1"/>
  </cellXfs>
  <cellStyles count="2">
    <cellStyle name="Hyperlink" xfId="1" builtinId="8"/>
    <cellStyle name="Normal" xfId="0" builtin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arifhabib.com.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
  <sheetViews>
    <sheetView tabSelected="1" topLeftCell="A13" workbookViewId="0">
      <selection activeCell="A13" sqref="A13"/>
    </sheetView>
  </sheetViews>
  <sheetFormatPr defaultRowHeight="15"/>
  <cols>
    <col min="1" max="1" width="42.5703125" style="2" customWidth="1"/>
    <col min="2" max="2" width="25" customWidth="1"/>
    <col min="3" max="3" width="22" customWidth="1"/>
    <col min="4" max="4" width="50" customWidth="1"/>
    <col min="5" max="5" width="18" customWidth="1"/>
    <col min="6" max="6" width="8" customWidth="1"/>
    <col min="7" max="7" width="30" customWidth="1"/>
    <col min="8" max="8" width="50" customWidth="1"/>
    <col min="9" max="10" width="30" customWidth="1"/>
    <col min="11" max="11" width="50" customWidth="1"/>
    <col min="12" max="12" width="13" customWidth="1"/>
    <col min="13" max="14" width="40" customWidth="1"/>
    <col min="15" max="15" width="113.7109375" customWidth="1"/>
    <col min="16" max="18" width="40" customWidth="1"/>
  </cols>
  <sheetData>
    <row r="1" spans="1:18"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tr">
        <f>HYPERLINK("https://investorlist.com/investor/akd-group?ref=Excel_ViewProfile","View Profile")</f>
        <v>View Profile</v>
      </c>
      <c r="B2" t="s">
        <v>18</v>
      </c>
      <c r="C2" t="s">
        <v>19</v>
      </c>
      <c r="D2" t="s">
        <v>20</v>
      </c>
      <c r="E2" t="s">
        <v>21</v>
      </c>
      <c r="F2" t="s">
        <v>22</v>
      </c>
      <c r="G2" t="s">
        <v>23</v>
      </c>
      <c r="H2" t="s">
        <v>24</v>
      </c>
      <c r="I2" t="s">
        <v>25</v>
      </c>
      <c r="J2" t="s">
        <v>26</v>
      </c>
      <c r="K2" t="s">
        <v>27</v>
      </c>
      <c r="L2">
        <v>1947</v>
      </c>
      <c r="M2" t="s">
        <v>28</v>
      </c>
      <c r="N2" t="s">
        <v>29</v>
      </c>
      <c r="O2" t="s">
        <v>30</v>
      </c>
      <c r="P2" t="s">
        <v>31</v>
      </c>
      <c r="Q2" t="s">
        <v>32</v>
      </c>
      <c r="R2" t="s">
        <v>33</v>
      </c>
    </row>
    <row r="3" spans="1:18">
      <c r="A3" s="2" t="str">
        <f>HYPERLINK("https://investorlist.com/investor/bank-alfalah-limited?ref=Excel_ViewProfile","View Profile")</f>
        <v>View Profile</v>
      </c>
      <c r="B3" t="s">
        <v>34</v>
      </c>
      <c r="C3" t="s">
        <v>35</v>
      </c>
      <c r="D3" t="s">
        <v>36</v>
      </c>
      <c r="E3" t="s">
        <v>24</v>
      </c>
      <c r="F3" t="s">
        <v>22</v>
      </c>
      <c r="G3" t="s">
        <v>37</v>
      </c>
      <c r="H3" t="s">
        <v>24</v>
      </c>
      <c r="I3" t="s">
        <v>38</v>
      </c>
      <c r="J3" t="s">
        <v>39</v>
      </c>
      <c r="K3" t="s">
        <v>40</v>
      </c>
      <c r="L3">
        <v>1992</v>
      </c>
      <c r="M3" t="s">
        <v>41</v>
      </c>
      <c r="N3" t="s">
        <v>42</v>
      </c>
      <c r="O3" t="s">
        <v>43</v>
      </c>
      <c r="P3" t="s">
        <v>44</v>
      </c>
      <c r="Q3" t="s">
        <v>45</v>
      </c>
      <c r="R3" t="s">
        <v>46</v>
      </c>
    </row>
    <row r="4" spans="1:18">
      <c r="A4" s="2" t="str">
        <f>HYPERLINK("https://investorlist.com/investor/tpl-e-ventures?ref=Excel_ViewProfile","View Profile")</f>
        <v>View Profile</v>
      </c>
      <c r="B4" t="s">
        <v>47</v>
      </c>
      <c r="C4" t="s">
        <v>48</v>
      </c>
      <c r="D4" t="s">
        <v>49</v>
      </c>
      <c r="E4" t="s">
        <v>21</v>
      </c>
      <c r="F4" t="s">
        <v>22</v>
      </c>
      <c r="G4" t="s">
        <v>50</v>
      </c>
      <c r="H4" t="s">
        <v>24</v>
      </c>
      <c r="I4" t="s">
        <v>51</v>
      </c>
      <c r="J4" t="s">
        <v>52</v>
      </c>
      <c r="K4" t="s">
        <v>53</v>
      </c>
      <c r="L4">
        <v>2017</v>
      </c>
      <c r="M4" t="s">
        <v>54</v>
      </c>
      <c r="N4" t="s">
        <v>55</v>
      </c>
      <c r="O4" t="s">
        <v>56</v>
      </c>
      <c r="P4" t="s">
        <v>57</v>
      </c>
      <c r="Q4" t="s">
        <v>58</v>
      </c>
      <c r="R4" t="s">
        <v>59</v>
      </c>
    </row>
    <row r="5" spans="1:18">
      <c r="A5" s="2" t="str">
        <f>HYPERLINK("https://investorlist.com/investor/meezan-bank-limited?ref=Excel_ViewProfile","View Profile")</f>
        <v>View Profile</v>
      </c>
      <c r="B5" t="s">
        <v>60</v>
      </c>
      <c r="C5" t="s">
        <v>35</v>
      </c>
      <c r="D5" t="s">
        <v>61</v>
      </c>
      <c r="E5" t="s">
        <v>21</v>
      </c>
      <c r="F5" t="s">
        <v>22</v>
      </c>
      <c r="G5" t="s">
        <v>62</v>
      </c>
      <c r="H5" t="s">
        <v>63</v>
      </c>
      <c r="I5" t="s">
        <v>64</v>
      </c>
      <c r="J5" t="s">
        <v>65</v>
      </c>
      <c r="K5" t="s">
        <v>66</v>
      </c>
      <c r="L5" t="s">
        <v>24</v>
      </c>
      <c r="M5" t="s">
        <v>67</v>
      </c>
      <c r="N5" t="s">
        <v>68</v>
      </c>
      <c r="O5" t="s">
        <v>69</v>
      </c>
      <c r="P5" t="s">
        <v>57</v>
      </c>
      <c r="Q5" t="s">
        <v>24</v>
      </c>
      <c r="R5" t="s">
        <v>24</v>
      </c>
    </row>
    <row r="6" spans="1:18">
      <c r="A6" s="2" t="str">
        <f>HYPERLINK("https://investorlist.com/investor/lakson-venture-capital?ref=Excel_ViewProfile","View Profile")</f>
        <v>View Profile</v>
      </c>
      <c r="B6" t="s">
        <v>70</v>
      </c>
      <c r="C6" t="s">
        <v>55</v>
      </c>
      <c r="D6" t="s">
        <v>71</v>
      </c>
      <c r="E6" t="s">
        <v>21</v>
      </c>
      <c r="F6" t="s">
        <v>22</v>
      </c>
      <c r="G6" t="s">
        <v>72</v>
      </c>
      <c r="H6" t="s">
        <v>24</v>
      </c>
      <c r="I6" t="s">
        <v>73</v>
      </c>
      <c r="J6" t="s">
        <v>74</v>
      </c>
      <c r="K6" t="s">
        <v>75</v>
      </c>
      <c r="L6">
        <v>2018</v>
      </c>
      <c r="M6" t="s">
        <v>76</v>
      </c>
      <c r="N6" t="s">
        <v>55</v>
      </c>
      <c r="O6" t="s">
        <v>77</v>
      </c>
      <c r="P6" t="s">
        <v>57</v>
      </c>
      <c r="Q6" t="s">
        <v>78</v>
      </c>
      <c r="R6" t="s">
        <v>79</v>
      </c>
    </row>
    <row r="7" spans="1:18">
      <c r="A7" s="2" t="str">
        <f>HYPERLINK("https://investorlist.com/investor/lakson-investments-venture-capital?ref=Excel_ViewProfile","View Profile")</f>
        <v>View Profile</v>
      </c>
      <c r="B7" t="s">
        <v>80</v>
      </c>
      <c r="C7" t="s">
        <v>55</v>
      </c>
      <c r="D7" t="s">
        <v>71</v>
      </c>
      <c r="E7" t="s">
        <v>21</v>
      </c>
      <c r="F7" t="s">
        <v>22</v>
      </c>
      <c r="G7" t="s">
        <v>72</v>
      </c>
      <c r="H7" t="s">
        <v>24</v>
      </c>
      <c r="I7" t="s">
        <v>73</v>
      </c>
      <c r="J7" t="s">
        <v>74</v>
      </c>
      <c r="K7" t="s">
        <v>81</v>
      </c>
      <c r="L7">
        <v>2018</v>
      </c>
      <c r="M7" t="s">
        <v>82</v>
      </c>
      <c r="N7" t="s">
        <v>55</v>
      </c>
      <c r="O7" t="s">
        <v>83</v>
      </c>
      <c r="P7" t="s">
        <v>57</v>
      </c>
      <c r="Q7" t="s">
        <v>84</v>
      </c>
      <c r="R7" t="s">
        <v>85</v>
      </c>
    </row>
    <row r="8" spans="1:18">
      <c r="A8" s="2" t="str">
        <f>HYPERLINK("https://investorlist.com/investor/habib-bank-limited?ref=Excel_ViewProfile","View Profile")</f>
        <v>View Profile</v>
      </c>
      <c r="B8" t="s">
        <v>86</v>
      </c>
      <c r="C8" t="s">
        <v>35</v>
      </c>
      <c r="D8" t="s">
        <v>87</v>
      </c>
      <c r="E8" t="s">
        <v>24</v>
      </c>
      <c r="F8" t="s">
        <v>22</v>
      </c>
      <c r="G8" t="s">
        <v>88</v>
      </c>
      <c r="H8" t="s">
        <v>24</v>
      </c>
      <c r="I8" t="s">
        <v>89</v>
      </c>
      <c r="J8" t="s">
        <v>90</v>
      </c>
      <c r="K8" t="s">
        <v>91</v>
      </c>
      <c r="L8">
        <v>1941</v>
      </c>
      <c r="M8" t="s">
        <v>92</v>
      </c>
      <c r="N8" t="s">
        <v>68</v>
      </c>
      <c r="O8" t="s">
        <v>93</v>
      </c>
      <c r="P8" t="s">
        <v>94</v>
      </c>
      <c r="Q8" t="s">
        <v>95</v>
      </c>
      <c r="R8" t="s">
        <v>96</v>
      </c>
    </row>
    <row r="9" spans="1:18">
      <c r="A9" s="2" t="str">
        <f>HYPERLINK("https://investorlist.com/investor/pak-oman-investment-company-limited?ref=Excel_ViewProfile","View Profile")</f>
        <v>View Profile</v>
      </c>
      <c r="B9" t="s">
        <v>97</v>
      </c>
      <c r="C9" t="s">
        <v>98</v>
      </c>
      <c r="D9" t="s">
        <v>99</v>
      </c>
      <c r="E9" t="s">
        <v>21</v>
      </c>
      <c r="F9" t="s">
        <v>22</v>
      </c>
      <c r="G9" t="s">
        <v>100</v>
      </c>
      <c r="H9" t="s">
        <v>24</v>
      </c>
      <c r="I9" t="s">
        <v>101</v>
      </c>
      <c r="J9" t="s">
        <v>102</v>
      </c>
      <c r="K9" t="s">
        <v>103</v>
      </c>
      <c r="L9">
        <v>2001</v>
      </c>
      <c r="M9" t="s">
        <v>104</v>
      </c>
      <c r="N9" t="s">
        <v>105</v>
      </c>
      <c r="O9" t="s">
        <v>106</v>
      </c>
      <c r="P9" t="s">
        <v>107</v>
      </c>
      <c r="Q9" t="s">
        <v>108</v>
      </c>
      <c r="R9" t="s">
        <v>109</v>
      </c>
    </row>
    <row r="10" spans="1:18">
      <c r="A10" s="2" t="str">
        <f>HYPERLINK("https://investorlist.com/investor/pak-libya-holding-company?ref=Excel_ViewProfile","View Profile")</f>
        <v>View Profile</v>
      </c>
      <c r="B10" t="s">
        <v>110</v>
      </c>
      <c r="C10" t="s">
        <v>35</v>
      </c>
      <c r="D10" t="s">
        <v>111</v>
      </c>
      <c r="E10" t="s">
        <v>24</v>
      </c>
      <c r="F10" t="s">
        <v>22</v>
      </c>
      <c r="G10" t="s">
        <v>112</v>
      </c>
      <c r="H10" t="s">
        <v>24</v>
      </c>
      <c r="I10" t="s">
        <v>113</v>
      </c>
      <c r="J10" t="s">
        <v>114</v>
      </c>
      <c r="K10" t="s">
        <v>115</v>
      </c>
      <c r="L10">
        <v>1978</v>
      </c>
      <c r="M10" t="s">
        <v>116</v>
      </c>
      <c r="N10" t="s">
        <v>117</v>
      </c>
      <c r="O10" t="s">
        <v>118</v>
      </c>
      <c r="P10" t="s">
        <v>119</v>
      </c>
      <c r="Q10" t="s">
        <v>120</v>
      </c>
      <c r="R10" t="s">
        <v>121</v>
      </c>
    </row>
    <row r="11" spans="1:18">
      <c r="A11" s="2" t="str">
        <f>HYPERLINK("https://investorlist.com/investor/pak-brunei-investment-company-limited?ref=Excel_ViewProfile","View Profile")</f>
        <v>View Profile</v>
      </c>
      <c r="B11" t="s">
        <v>122</v>
      </c>
      <c r="C11" t="s">
        <v>35</v>
      </c>
      <c r="D11" t="s">
        <v>123</v>
      </c>
      <c r="E11" t="s">
        <v>21</v>
      </c>
      <c r="F11" t="s">
        <v>22</v>
      </c>
      <c r="G11" t="s">
        <v>124</v>
      </c>
      <c r="H11" t="s">
        <v>24</v>
      </c>
      <c r="I11" t="s">
        <v>125</v>
      </c>
      <c r="J11" t="s">
        <v>126</v>
      </c>
      <c r="K11" t="s">
        <v>127</v>
      </c>
      <c r="L11">
        <v>2006</v>
      </c>
      <c r="M11" t="s">
        <v>67</v>
      </c>
      <c r="N11" t="s">
        <v>128</v>
      </c>
      <c r="O11" t="s">
        <v>129</v>
      </c>
      <c r="P11" t="s">
        <v>130</v>
      </c>
      <c r="Q11" t="s">
        <v>131</v>
      </c>
      <c r="R11" t="s">
        <v>132</v>
      </c>
    </row>
    <row r="12" spans="1:18">
      <c r="A12" s="2" t="str">
        <f>HYPERLINK("https://investorlist.com/investor/tmt-ventures-pvt-ltd?ref=Excel_ViewProfile","View Profile")</f>
        <v>View Profile</v>
      </c>
      <c r="B12" t="s">
        <v>133</v>
      </c>
      <c r="C12" t="s">
        <v>55</v>
      </c>
      <c r="D12" t="s">
        <v>134</v>
      </c>
      <c r="E12" t="s">
        <v>21</v>
      </c>
      <c r="F12" t="s">
        <v>22</v>
      </c>
      <c r="G12" t="s">
        <v>135</v>
      </c>
      <c r="H12" t="s">
        <v>24</v>
      </c>
      <c r="I12" t="s">
        <v>136</v>
      </c>
      <c r="J12" t="s">
        <v>137</v>
      </c>
      <c r="K12" t="s">
        <v>138</v>
      </c>
      <c r="L12">
        <v>2002</v>
      </c>
      <c r="M12" t="s">
        <v>139</v>
      </c>
      <c r="N12" t="s">
        <v>55</v>
      </c>
      <c r="O12" t="s">
        <v>140</v>
      </c>
      <c r="P12" t="s">
        <v>57</v>
      </c>
      <c r="Q12" t="s">
        <v>141</v>
      </c>
      <c r="R12" t="s">
        <v>142</v>
      </c>
    </row>
    <row r="13" spans="1:18">
      <c r="A13" s="2" t="str">
        <f>HYPERLINK("https://investorlist.com/investor/pair-investment-company-limited?ref=Excel_ViewProfile","View Profile")</f>
        <v>View Profile</v>
      </c>
      <c r="B13" t="s">
        <v>143</v>
      </c>
      <c r="C13" t="s">
        <v>144</v>
      </c>
      <c r="D13" t="s">
        <v>145</v>
      </c>
      <c r="E13" t="s">
        <v>21</v>
      </c>
      <c r="F13" t="s">
        <v>22</v>
      </c>
      <c r="G13" t="s">
        <v>146</v>
      </c>
      <c r="H13" t="s">
        <v>24</v>
      </c>
      <c r="I13" t="s">
        <v>147</v>
      </c>
      <c r="J13" t="s">
        <v>148</v>
      </c>
      <c r="K13" t="s">
        <v>149</v>
      </c>
      <c r="L13">
        <v>2007</v>
      </c>
      <c r="M13" t="s">
        <v>150</v>
      </c>
      <c r="N13" t="s">
        <v>151</v>
      </c>
      <c r="O13" t="s">
        <v>152</v>
      </c>
      <c r="P13" t="s">
        <v>153</v>
      </c>
      <c r="Q13" t="s">
        <v>154</v>
      </c>
      <c r="R13" t="s">
        <v>155</v>
      </c>
    </row>
    <row r="14" spans="1:18">
      <c r="A14" s="2" t="str">
        <f>HYPERLINK("https://investorlist.com/investor/akd-venture-funds-limited?ref=Excel_ViewProfile","View Profile")</f>
        <v>View Profile</v>
      </c>
      <c r="B14" t="s">
        <v>156</v>
      </c>
      <c r="C14" t="s">
        <v>55</v>
      </c>
      <c r="D14" t="s">
        <v>157</v>
      </c>
      <c r="E14" t="s">
        <v>21</v>
      </c>
      <c r="F14" t="s">
        <v>22</v>
      </c>
      <c r="G14" t="s">
        <v>158</v>
      </c>
      <c r="H14" t="s">
        <v>24</v>
      </c>
      <c r="I14" t="s">
        <v>159</v>
      </c>
      <c r="J14" t="s">
        <v>160</v>
      </c>
      <c r="K14" t="s">
        <v>161</v>
      </c>
      <c r="L14" t="s">
        <v>24</v>
      </c>
      <c r="M14" t="s">
        <v>41</v>
      </c>
      <c r="N14" t="s">
        <v>55</v>
      </c>
      <c r="O14" t="s">
        <v>162</v>
      </c>
      <c r="P14" t="s">
        <v>57</v>
      </c>
      <c r="Q14" t="s">
        <v>24</v>
      </c>
      <c r="R14" t="s">
        <v>24</v>
      </c>
    </row>
    <row r="15" spans="1:18">
      <c r="A15" s="2" t="str">
        <f>HYPERLINK("https://investorlist.com/investor/cordoba-ventures?ref=Excel_ViewProfile","View Profile")</f>
        <v>View Profile</v>
      </c>
      <c r="B15" t="s">
        <v>163</v>
      </c>
      <c r="C15" t="s">
        <v>55</v>
      </c>
      <c r="D15" t="s">
        <v>164</v>
      </c>
      <c r="E15" t="s">
        <v>21</v>
      </c>
      <c r="F15" t="s">
        <v>22</v>
      </c>
      <c r="G15" t="s">
        <v>165</v>
      </c>
      <c r="H15" t="s">
        <v>24</v>
      </c>
      <c r="I15" t="s">
        <v>166</v>
      </c>
      <c r="J15" t="s">
        <v>24</v>
      </c>
      <c r="K15" t="s">
        <v>167</v>
      </c>
      <c r="L15">
        <v>2019</v>
      </c>
      <c r="M15" t="s">
        <v>82</v>
      </c>
      <c r="N15" t="s">
        <v>55</v>
      </c>
      <c r="O15" t="s">
        <v>168</v>
      </c>
      <c r="P15" t="s">
        <v>169</v>
      </c>
      <c r="Q15" t="s">
        <v>170</v>
      </c>
      <c r="R15" t="s">
        <v>24</v>
      </c>
    </row>
    <row r="16" spans="1:18">
      <c r="A16" s="2" t="str">
        <f>HYPERLINK("https://investorlist.com/investor/dotzero-ventures?ref=Excel_ViewProfile","View Profile")</f>
        <v>View Profile</v>
      </c>
      <c r="B16" t="s">
        <v>171</v>
      </c>
      <c r="C16" t="s">
        <v>55</v>
      </c>
      <c r="D16" t="s">
        <v>172</v>
      </c>
      <c r="E16" t="s">
        <v>21</v>
      </c>
      <c r="F16" t="s">
        <v>22</v>
      </c>
      <c r="G16" t="s">
        <v>173</v>
      </c>
      <c r="H16" t="s">
        <v>24</v>
      </c>
      <c r="I16" t="s">
        <v>174</v>
      </c>
      <c r="J16" t="s">
        <v>24</v>
      </c>
      <c r="K16" t="s">
        <v>175</v>
      </c>
      <c r="L16">
        <v>2013</v>
      </c>
      <c r="M16" t="s">
        <v>176</v>
      </c>
      <c r="N16" t="s">
        <v>55</v>
      </c>
      <c r="O16" t="s">
        <v>177</v>
      </c>
      <c r="P16" t="s">
        <v>57</v>
      </c>
      <c r="Q16" t="s">
        <v>178</v>
      </c>
      <c r="R16" t="s">
        <v>179</v>
      </c>
    </row>
    <row r="17" spans="1:18">
      <c r="A17" s="2" t="str">
        <f>HYPERLINK("https://investorlist.com/investor/symmetry-group-ltd?ref=Excel_ViewProfile","View Profile")</f>
        <v>View Profile</v>
      </c>
      <c r="B17" t="s">
        <v>180</v>
      </c>
      <c r="C17" t="s">
        <v>144</v>
      </c>
      <c r="D17" t="s">
        <v>181</v>
      </c>
      <c r="E17" t="s">
        <v>21</v>
      </c>
      <c r="F17" t="s">
        <v>22</v>
      </c>
      <c r="G17" t="s">
        <v>182</v>
      </c>
      <c r="H17" t="s">
        <v>24</v>
      </c>
      <c r="I17" t="s">
        <v>183</v>
      </c>
      <c r="J17" t="s">
        <v>184</v>
      </c>
      <c r="K17" t="s">
        <v>185</v>
      </c>
      <c r="L17">
        <v>2012</v>
      </c>
      <c r="M17" t="s">
        <v>186</v>
      </c>
      <c r="N17" t="s">
        <v>187</v>
      </c>
      <c r="O17" t="s">
        <v>187</v>
      </c>
      <c r="P17" t="s">
        <v>188</v>
      </c>
      <c r="Q17" t="s">
        <v>189</v>
      </c>
      <c r="R17" t="s">
        <v>190</v>
      </c>
    </row>
    <row r="18" spans="1:18">
      <c r="A18" s="2" t="str">
        <f>HYPERLINK("https://investorlist.com/investor/ithaca-capital?ref=Excel_ViewProfile","View Profile")</f>
        <v>View Profile</v>
      </c>
      <c r="B18" t="s">
        <v>191</v>
      </c>
      <c r="C18" t="s">
        <v>19</v>
      </c>
      <c r="D18" t="s">
        <v>192</v>
      </c>
      <c r="E18" t="s">
        <v>21</v>
      </c>
      <c r="F18" t="s">
        <v>22</v>
      </c>
      <c r="G18" t="s">
        <v>193</v>
      </c>
      <c r="H18" t="s">
        <v>24</v>
      </c>
      <c r="I18" t="s">
        <v>194</v>
      </c>
      <c r="J18" t="s">
        <v>24</v>
      </c>
      <c r="K18" t="s">
        <v>195</v>
      </c>
      <c r="L18">
        <v>1998</v>
      </c>
      <c r="M18" t="s">
        <v>196</v>
      </c>
      <c r="N18" t="s">
        <v>151</v>
      </c>
      <c r="O18" t="s">
        <v>197</v>
      </c>
      <c r="P18" t="s">
        <v>57</v>
      </c>
      <c r="Q18" t="s">
        <v>198</v>
      </c>
      <c r="R18" t="s">
        <v>199</v>
      </c>
    </row>
    <row r="19" spans="1:18">
      <c r="A19" s="2" t="str">
        <f>HYPERLINK("https://investorlist.com/investor/pakistan-kuwait-investment-company?ref=Excel_ViewProfile","View Profile")</f>
        <v>View Profile</v>
      </c>
      <c r="B19" t="s">
        <v>200</v>
      </c>
      <c r="C19" t="s">
        <v>35</v>
      </c>
      <c r="D19" t="s">
        <v>201</v>
      </c>
      <c r="E19" t="s">
        <v>21</v>
      </c>
      <c r="F19" t="s">
        <v>22</v>
      </c>
      <c r="G19" t="s">
        <v>202</v>
      </c>
      <c r="H19" t="s">
        <v>203</v>
      </c>
      <c r="I19" t="s">
        <v>204</v>
      </c>
      <c r="J19" t="s">
        <v>205</v>
      </c>
      <c r="K19" t="s">
        <v>206</v>
      </c>
      <c r="L19">
        <v>1979</v>
      </c>
      <c r="M19" t="s">
        <v>207</v>
      </c>
      <c r="N19" t="s">
        <v>208</v>
      </c>
      <c r="O19" t="s">
        <v>209</v>
      </c>
      <c r="P19" t="s">
        <v>210</v>
      </c>
      <c r="Q19" t="s">
        <v>211</v>
      </c>
      <c r="R19" t="s">
        <v>212</v>
      </c>
    </row>
    <row r="20" spans="1:18">
      <c r="A20" s="2" t="str">
        <f>HYPERLINK("https://investorlist.com/investor/akd-securities-limited?ref=Excel_ViewProfile","View Profile")</f>
        <v>View Profile</v>
      </c>
      <c r="B20" t="s">
        <v>213</v>
      </c>
      <c r="C20" t="s">
        <v>35</v>
      </c>
      <c r="D20" t="s">
        <v>214</v>
      </c>
      <c r="E20" t="s">
        <v>21</v>
      </c>
      <c r="F20" t="s">
        <v>22</v>
      </c>
      <c r="G20" t="s">
        <v>215</v>
      </c>
      <c r="H20" t="s">
        <v>24</v>
      </c>
      <c r="I20" t="s">
        <v>216</v>
      </c>
      <c r="J20" t="s">
        <v>217</v>
      </c>
      <c r="K20" t="s">
        <v>218</v>
      </c>
      <c r="L20">
        <v>1962</v>
      </c>
      <c r="M20" t="s">
        <v>67</v>
      </c>
      <c r="N20" t="s">
        <v>219</v>
      </c>
      <c r="O20" t="s">
        <v>220</v>
      </c>
      <c r="P20" t="s">
        <v>57</v>
      </c>
      <c r="Q20" t="s">
        <v>24</v>
      </c>
      <c r="R20" t="s">
        <v>24</v>
      </c>
    </row>
    <row r="21" spans="1:18">
      <c r="A21" s="2" t="str">
        <f>HYPERLINK("https://investorlist.com/investor/venture-d?ref=Excel_ViewProfile","View Profile")</f>
        <v>View Profile</v>
      </c>
      <c r="B21" t="s">
        <v>221</v>
      </c>
      <c r="C21" t="s">
        <v>55</v>
      </c>
      <c r="D21" t="s">
        <v>222</v>
      </c>
      <c r="E21" t="s">
        <v>21</v>
      </c>
      <c r="F21" t="s">
        <v>22</v>
      </c>
      <c r="G21" t="s">
        <v>223</v>
      </c>
      <c r="H21" t="s">
        <v>24</v>
      </c>
      <c r="I21" t="s">
        <v>224</v>
      </c>
      <c r="J21" t="s">
        <v>225</v>
      </c>
      <c r="K21" t="s">
        <v>226</v>
      </c>
      <c r="L21">
        <v>2015</v>
      </c>
      <c r="M21" t="s">
        <v>82</v>
      </c>
      <c r="N21" t="s">
        <v>55</v>
      </c>
      <c r="O21" t="s">
        <v>227</v>
      </c>
      <c r="P21" t="s">
        <v>57</v>
      </c>
      <c r="Q21" t="s">
        <v>228</v>
      </c>
      <c r="R21" t="s">
        <v>155</v>
      </c>
    </row>
    <row r="22" spans="1:18">
      <c r="A22" s="2" t="str">
        <f>HYPERLINK("https://investorlist.com/investor/bottleco-private-limited?ref=Excel_ViewProfile","View Profile")</f>
        <v>View Profile</v>
      </c>
      <c r="B22" t="s">
        <v>229</v>
      </c>
      <c r="C22" t="s">
        <v>19</v>
      </c>
      <c r="D22" t="s">
        <v>230</v>
      </c>
      <c r="E22" t="s">
        <v>21</v>
      </c>
      <c r="F22" t="s">
        <v>22</v>
      </c>
      <c r="G22" t="s">
        <v>231</v>
      </c>
      <c r="H22" t="s">
        <v>24</v>
      </c>
      <c r="I22" t="s">
        <v>232</v>
      </c>
      <c r="J22" t="s">
        <v>233</v>
      </c>
      <c r="K22" t="s">
        <v>234</v>
      </c>
      <c r="L22">
        <v>2017</v>
      </c>
      <c r="M22" t="s">
        <v>196</v>
      </c>
      <c r="N22" t="s">
        <v>235</v>
      </c>
      <c r="O22" t="s">
        <v>236</v>
      </c>
      <c r="P22" t="s">
        <v>57</v>
      </c>
      <c r="Q22" t="s">
        <v>237</v>
      </c>
      <c r="R22" t="s">
        <v>238</v>
      </c>
    </row>
    <row r="23" spans="1:18">
      <c r="A23" s="2" t="str">
        <f>HYPERLINK("https://investorlist.com/investor/calcorp-limited?ref=Excel_ViewProfile","View Profile")</f>
        <v>View Profile</v>
      </c>
      <c r="B23" t="s">
        <v>239</v>
      </c>
      <c r="C23" t="s">
        <v>19</v>
      </c>
      <c r="D23" t="s">
        <v>240</v>
      </c>
      <c r="E23" t="s">
        <v>21</v>
      </c>
      <c r="F23" t="s">
        <v>22</v>
      </c>
      <c r="G23" t="s">
        <v>241</v>
      </c>
      <c r="H23" t="s">
        <v>24</v>
      </c>
      <c r="I23" t="s">
        <v>242</v>
      </c>
      <c r="J23" t="s">
        <v>243</v>
      </c>
      <c r="K23" t="s">
        <v>244</v>
      </c>
      <c r="L23">
        <v>1992</v>
      </c>
      <c r="M23" t="s">
        <v>67</v>
      </c>
      <c r="N23" t="s">
        <v>245</v>
      </c>
      <c r="O23" t="s">
        <v>246</v>
      </c>
      <c r="P23" t="s">
        <v>57</v>
      </c>
      <c r="Q23" t="s">
        <v>247</v>
      </c>
      <c r="R23" t="s">
        <v>24</v>
      </c>
    </row>
    <row r="24" spans="1:18">
      <c r="A24" s="2" t="str">
        <f>HYPERLINK("https://investorlist.com/investor/optimus-capital-management-private-limited?ref=Excel_ViewProfile","View Profile")</f>
        <v>View Profile</v>
      </c>
      <c r="B24" t="s">
        <v>248</v>
      </c>
      <c r="C24" t="s">
        <v>19</v>
      </c>
      <c r="D24" t="s">
        <v>249</v>
      </c>
      <c r="E24" t="s">
        <v>21</v>
      </c>
      <c r="F24" t="s">
        <v>22</v>
      </c>
      <c r="G24" t="s">
        <v>250</v>
      </c>
      <c r="H24" t="s">
        <v>24</v>
      </c>
      <c r="I24" t="s">
        <v>251</v>
      </c>
      <c r="J24" t="s">
        <v>252</v>
      </c>
      <c r="K24" t="s">
        <v>253</v>
      </c>
      <c r="L24">
        <v>2004</v>
      </c>
      <c r="M24" t="s">
        <v>254</v>
      </c>
      <c r="N24" t="s">
        <v>151</v>
      </c>
      <c r="O24" t="s">
        <v>255</v>
      </c>
      <c r="P24" t="s">
        <v>57</v>
      </c>
      <c r="Q24" t="s">
        <v>256</v>
      </c>
      <c r="R24" t="s">
        <v>257</v>
      </c>
    </row>
    <row r="25" spans="1:18">
      <c r="A25" s="2" t="str">
        <f>HYPERLINK("https://investorlist.com/investor/mustang-hrsm-pvt-ltd?ref=Excel_ViewProfile","View Profile")</f>
        <v>View Profile</v>
      </c>
      <c r="B25" t="s">
        <v>258</v>
      </c>
      <c r="C25" t="s">
        <v>19</v>
      </c>
      <c r="D25" t="s">
        <v>259</v>
      </c>
      <c r="E25" t="s">
        <v>21</v>
      </c>
      <c r="F25" t="s">
        <v>22</v>
      </c>
      <c r="G25" t="s">
        <v>260</v>
      </c>
      <c r="H25" t="s">
        <v>24</v>
      </c>
      <c r="I25" t="s">
        <v>261</v>
      </c>
      <c r="J25" t="s">
        <v>262</v>
      </c>
      <c r="K25" t="s">
        <v>263</v>
      </c>
      <c r="L25">
        <v>2007</v>
      </c>
      <c r="M25" t="s">
        <v>264</v>
      </c>
      <c r="N25" t="s">
        <v>151</v>
      </c>
      <c r="O25" t="s">
        <v>265</v>
      </c>
      <c r="P25" t="s">
        <v>57</v>
      </c>
      <c r="Q25" t="s">
        <v>266</v>
      </c>
      <c r="R25" t="s">
        <v>267</v>
      </c>
    </row>
    <row r="26" spans="1:18">
      <c r="A26" s="2" t="str">
        <f>HYPERLINK("https://investorlist.com/investor/arif-habib-group?ref=Excel_ViewProfile","View Profile")</f>
        <v>View Profile</v>
      </c>
      <c r="B26" t="s">
        <v>268</v>
      </c>
      <c r="C26" t="s">
        <v>48</v>
      </c>
      <c r="D26" t="s">
        <v>269</v>
      </c>
      <c r="E26" t="s">
        <v>21</v>
      </c>
      <c r="F26" t="s">
        <v>22</v>
      </c>
      <c r="G26" s="4" t="s">
        <v>270</v>
      </c>
      <c r="H26" t="s">
        <v>24</v>
      </c>
      <c r="I26" t="s">
        <v>271</v>
      </c>
      <c r="J26" t="s">
        <v>272</v>
      </c>
      <c r="K26" t="s">
        <v>273</v>
      </c>
      <c r="L26" t="s">
        <v>24</v>
      </c>
      <c r="M26" t="s">
        <v>274</v>
      </c>
      <c r="N26" t="s">
        <v>275</v>
      </c>
      <c r="O26" t="s">
        <v>276</v>
      </c>
      <c r="P26" t="s">
        <v>57</v>
      </c>
      <c r="Q26" t="s">
        <v>24</v>
      </c>
      <c r="R26" t="s">
        <v>24</v>
      </c>
    </row>
  </sheetData>
  <hyperlinks>
    <hyperlink ref="G26" r:id="rId1"/>
  </hyperlinks>
  <pageMargins left="0.5" right="0.5" top="1" bottom="1" header="0.5" footer="0.5"/>
  <pageSetup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5"/>
  <sheetViews>
    <sheetView topLeftCell="A97" workbookViewId="0">
      <selection activeCell="A108" sqref="A108"/>
    </sheetView>
  </sheetViews>
  <sheetFormatPr defaultRowHeight="15"/>
  <cols>
    <col min="1" max="1" width="8.85546875" style="2"/>
  </cols>
  <sheetData>
    <row r="1" spans="1:1">
      <c r="A1" s="3" t="s">
        <v>277</v>
      </c>
    </row>
    <row r="2" spans="1:1">
      <c r="A2" s="2" t="str">
        <f>HYPERLINK("https://investorlist.com/list/transport-and-mobility-investors?ref=Excel_OtherLists","3,942 Transport and Mobility Investors")</f>
        <v>3,942 Transport and Mobility Investors</v>
      </c>
    </row>
    <row r="3" spans="1:1">
      <c r="A3" s="2" t="str">
        <f>HYPERLINK("https://investorlist.com/list/maritime-investors?ref=Excel_OtherLists","98 Maritime Investors")</f>
        <v>98 Maritime Investors</v>
      </c>
    </row>
    <row r="4" spans="1:1">
      <c r="A4" s="2" t="str">
        <f>HYPERLINK("https://investorlist.com/list/hospitality-investors?ref=Excel_OtherLists","1,373 Hospitality Investors")</f>
        <v>1,373 Hospitality Investors</v>
      </c>
    </row>
    <row r="5" spans="1:1">
      <c r="A5" s="2" t="str">
        <f>HYPERLINK("https://investorlist.com/list/impact-and-esg-investors?ref=Excel_OtherLists","253 Impact and ESG Investors")</f>
        <v>253 Impact and ESG Investors</v>
      </c>
    </row>
    <row r="6" spans="1:1">
      <c r="A6" s="2" t="str">
        <f>HYPERLINK("https://investorlist.com/list/automotive-investors?ref=Excel_OtherLists","779 Automotive Investors")</f>
        <v>779 Automotive Investors</v>
      </c>
    </row>
    <row r="7" spans="1:1">
      <c r="A7" s="2" t="str">
        <f>HYPERLINK("https://investorlist.com/list/nigeria-based-investors?ref=Excel_OtherLists","116 Nigeria-based Investors")</f>
        <v>116 Nigeria-based Investors</v>
      </c>
    </row>
    <row r="8" spans="1:1">
      <c r="A8" s="2" t="str">
        <f>HYPERLINK("https://investorlist.com/list/pakistan-investors?ref=Excel_OtherLists","38 Pakistan investors")</f>
        <v>38 Pakistan investors</v>
      </c>
    </row>
    <row r="9" spans="1:1">
      <c r="A9" s="2" t="str">
        <f>HYPERLINK("https://investorlist.com/list/uae-investors?ref=Excel_OtherLists","455 UAE Investors")</f>
        <v>455 UAE Investors</v>
      </c>
    </row>
    <row r="10" spans="1:1">
      <c r="A10" s="2" t="str">
        <f>HYPERLINK("https://investorlist.com/list/turkey-based-investors?ref=Excel_OtherLists","156 Turkey Based Investors")</f>
        <v>156 Turkey Based Investors</v>
      </c>
    </row>
    <row r="11" spans="1:1">
      <c r="A11" s="2" t="str">
        <f>HYPERLINK("https://investorlist.com/list/indian-investors?ref=Excel_OtherLists","855 Indian Investors")</f>
        <v>855 Indian Investors</v>
      </c>
    </row>
    <row r="12" spans="1:1">
      <c r="A12" s="2" t="str">
        <f>HYPERLINK("https://investorlist.com/list/uk-based-investors?ref=Excel_OtherLists","1,194 UK Based Investors")</f>
        <v>1,194 UK Based Investors</v>
      </c>
    </row>
    <row r="13" spans="1:1">
      <c r="A13" s="2" t="str">
        <f>HYPERLINK("https://investorlist.com/list/us-based-investors?ref=Excel_OtherLists","9,126 US Based Investors")</f>
        <v>9,126 US Based Investors</v>
      </c>
    </row>
    <row r="14" spans="1:1">
      <c r="A14" s="2" t="str">
        <f>HYPERLINK("https://investorlist.com/list/investors-focused-on-pakistan?ref=Excel_OtherLists","519 Investors Focused on Pakistan")</f>
        <v>519 Investors Focused on Pakistan</v>
      </c>
    </row>
    <row r="15" spans="1:1">
      <c r="A15" s="2" t="str">
        <f>HYPERLINK("https://investorlist.com/list/london-based-investors?ref=Excel_OtherLists","1,075 London Based Investors")</f>
        <v>1,075 London Based Investors</v>
      </c>
    </row>
    <row r="16" spans="1:1">
      <c r="A16" s="2" t="str">
        <f>HYPERLINK("https://investorlist.com/list/new-delhi-based-investors?ref=Excel_OtherLists","104 New Delhi Based Investors")</f>
        <v>104 New Delhi Based Investors</v>
      </c>
    </row>
    <row r="17" spans="1:1">
      <c r="A17" s="2" t="str">
        <f>HYPERLINK("https://investorlist.com/list/dhaka-based-investors?ref=Excel_OtherLists","28 Dhaka Based Investors")</f>
        <v>28 Dhaka Based Investors</v>
      </c>
    </row>
    <row r="18" spans="1:1">
      <c r="A18" s="2" t="str">
        <f>HYPERLINK("https://investorlist.com/list/sao-paulo-based-investors?ref=Excel_OtherLists","162 São Paulo Based Investors")</f>
        <v>162 São Paulo Based Investors</v>
      </c>
    </row>
    <row r="19" spans="1:1">
      <c r="A19" s="2" t="str">
        <f>HYPERLINK("https://investorlist.com/list/mexico-city-based-investors?ref=Excel_OtherLists","39 Mexico City Based Investors")</f>
        <v>39 Mexico City Based Investors</v>
      </c>
    </row>
    <row r="20" spans="1:1">
      <c r="A20" s="2" t="str">
        <f>HYPERLINK("https://investorlist.com/list/cairo-based-investors?ref=Excel_OtherLists","4 Cairo Based Investors")</f>
        <v>4 Cairo Based Investors</v>
      </c>
    </row>
    <row r="21" spans="1:1">
      <c r="A21" s="2" t="str">
        <f>HYPERLINK("https://investorlist.com/list/mumbai-based-investors?ref=Excel_OtherLists","513 Mumbai Based Investors")</f>
        <v>513 Mumbai Based Investors</v>
      </c>
    </row>
    <row r="22" spans="1:1">
      <c r="A22" s="2" t="str">
        <f>HYPERLINK("https://investorlist.com/list/istanbul-based-investors?ref=Excel_OtherLists","151 Istanbul Based Investors")</f>
        <v>151 Istanbul Based Investors</v>
      </c>
    </row>
    <row r="23" spans="1:1">
      <c r="A23" s="2" t="str">
        <f>HYPERLINK("https://investorlist.com/list/buenos-aires-based-investors?ref=Excel_OtherLists","22 Buenos Aires Based Investors")</f>
        <v>22 Buenos Aires Based Investors</v>
      </c>
    </row>
    <row r="24" spans="1:1">
      <c r="A24" s="2" t="str">
        <f>HYPERLINK("https://investorlist.com/list/kolkata-based-investors?ref=Excel_OtherLists","18 Kolkata Based Investors")</f>
        <v>18 Kolkata Based Investors</v>
      </c>
    </row>
    <row r="25" spans="1:1">
      <c r="A25" s="2" t="str">
        <f>HYPERLINK("https://investorlist.com/list/lagos-based-investors?ref=Excel_OtherLists","96 Lagos Based Investors")</f>
        <v>96 Lagos Based Investors</v>
      </c>
    </row>
    <row r="26" spans="1:1">
      <c r="A26" s="2" t="str">
        <f>HYPERLINK("https://investorlist.com/list/gym-fitness-industry-investors?ref=Excel_OtherLists","121 Gym &amp; Fitness Industry Investors")</f>
        <v>121 Gym &amp; Fitness Industry Investors</v>
      </c>
    </row>
    <row r="27" spans="1:1">
      <c r="A27" s="2" t="str">
        <f>HYPERLINK("https://investorlist.com/list/cybersecurity-investors?ref=Excel_OtherLists","774 Cybersecurity Investors")</f>
        <v>774 Cybersecurity Investors</v>
      </c>
    </row>
    <row r="28" spans="1:1">
      <c r="A28" s="2" t="str">
        <f>HYPERLINK("https://investorlist.com/list/logistics-investors?ref=Excel_OtherLists","1,981 Logistics Investors")</f>
        <v>1,981 Logistics Investors</v>
      </c>
    </row>
    <row r="29" spans="1:1">
      <c r="A29" s="2" t="str">
        <f>HYPERLINK("https://investorlist.com/list/finance-investors?ref=Excel_OtherLists","530 Finance Investors")</f>
        <v>530 Finance Investors</v>
      </c>
    </row>
    <row r="30" spans="1:1">
      <c r="A30" s="2" t="str">
        <f>HYPERLINK("https://investorlist.com/list/real-estate-investors?ref=Excel_OtherLists","5,306 Real Estate Investors")</f>
        <v>5,306 Real Estate Investors</v>
      </c>
    </row>
    <row r="31" spans="1:1">
      <c r="A31" s="2" t="str">
        <f>HYPERLINK("https://investorlist.com/list/manufacturing-investors?ref=Excel_OtherLists","2,657 Manufacturing Investors")</f>
        <v>2,657 Manufacturing Investors</v>
      </c>
    </row>
    <row r="32" spans="1:1">
      <c r="A32" s="2" t="str">
        <f>HYPERLINK("https://investorlist.com/list/retail-investors?ref=Excel_OtherLists","3,088 Retail Investors")</f>
        <v>3,088 Retail Investors</v>
      </c>
    </row>
    <row r="33" spans="1:1">
      <c r="A33" s="2" t="str">
        <f>HYPERLINK("https://investorlist.com/list/media-and-entertainment-investors?ref=Excel_OtherLists","3,883 Media and Entertainment Investors")</f>
        <v>3,883 Media and Entertainment Investors</v>
      </c>
    </row>
    <row r="34" spans="1:1">
      <c r="A34" s="2" t="str">
        <f>HYPERLINK("https://investorlist.com/list/consumer-goods-investors?ref=Excel_OtherLists","3,035 Consumer Goods Investors")</f>
        <v>3,035 Consumer Goods Investors</v>
      </c>
    </row>
    <row r="35" spans="1:1">
      <c r="A35" s="2" t="str">
        <f>HYPERLINK("https://investorlist.com/list/restaurant-investors?ref=Excel_OtherLists","175 Restaurant Investors")</f>
        <v>175 Restaurant Investors</v>
      </c>
    </row>
    <row r="36" spans="1:1">
      <c r="A36" s="2" t="str">
        <f>HYPERLINK("https://investorlist.com/list/tourism-investors?ref=Excel_OtherLists","334 Tourism Investors")</f>
        <v>334 Tourism Investors</v>
      </c>
    </row>
    <row r="37" spans="1:1">
      <c r="A37" s="2" t="str">
        <f>HYPERLINK("https://investorlist.com/list/seed-and-pre-seed-investors?ref=Excel_OtherLists","15,658 Seed and Pre-Seed Investors")</f>
        <v>15,658 Seed and Pre-Seed Investors</v>
      </c>
    </row>
    <row r="38" spans="1:1">
      <c r="A38" s="2" t="str">
        <f>HYPERLINK("https://investorlist.com/list/fashion-investors?ref=Excel_OtherLists","208 Fashion Investors")</f>
        <v>208 Fashion Investors</v>
      </c>
    </row>
    <row r="39" spans="1:1">
      <c r="A39" s="2" t="str">
        <f>HYPERLINK("https://investorlist.com/list/biotech-investors?ref=Excel_OtherLists","2,075 Biotech Investors")</f>
        <v>2,075 Biotech Investors</v>
      </c>
    </row>
    <row r="40" spans="1:1">
      <c r="A40" s="2" t="str">
        <f>HYPERLINK("https://investorlist.com/list/us-healthcare-investors?ref=Excel_OtherLists","3,651 US Healthcare Investors")</f>
        <v>3,651 US Healthcare Investors</v>
      </c>
    </row>
    <row r="41" spans="1:1">
      <c r="A41" s="2" t="str">
        <f>HYPERLINK("https://investorlist.com/list/uk-healthcare-investors?ref=Excel_OtherLists","474 UK Healthcare Investors")</f>
        <v>474 UK Healthcare Investors</v>
      </c>
    </row>
    <row r="42" spans="1:1">
      <c r="A42" s="2" t="str">
        <f>HYPERLINK("https://investorlist.com/list/european-healthcare-investors?ref=Excel_OtherLists","1,856 European Healthcare Investors")</f>
        <v>1,856 European Healthcare Investors</v>
      </c>
    </row>
    <row r="43" spans="1:1">
      <c r="A43" s="2" t="str">
        <f>HYPERLINK("https://investorlist.com/list/early-stage-investors?ref=Excel_OtherLists","1,652 Early Stage Investors")</f>
        <v>1,652 Early Stage Investors</v>
      </c>
    </row>
    <row r="44" spans="1:1">
      <c r="A44" s="2" t="str">
        <f>HYPERLINK("https://investorlist.com/list/pre-seed-investors-globally?ref=Excel_OtherLists","3,603 Pre-Seed Investors (Globally)")</f>
        <v>3,603 Pre-Seed Investors (Globally)</v>
      </c>
    </row>
    <row r="45" spans="1:1">
      <c r="A45" s="2" t="str">
        <f>HYPERLINK("https://investorlist.com/list/fund-of-funds-globally?ref=Excel_OtherLists","124 Fund of Funds (Globally)")</f>
        <v>124 Fund of Funds (Globally)</v>
      </c>
    </row>
    <row r="46" spans="1:1">
      <c r="A46" s="2" t="str">
        <f>HYPERLINK("https://investorlist.com/list/tokyo-based-investors?ref=Excel_OtherLists","352 Tokyo Based Investors")</f>
        <v>352 Tokyo Based Investors</v>
      </c>
    </row>
    <row r="47" spans="1:1">
      <c r="A47" s="2" t="str">
        <f>HYPERLINK("https://investorlist.com/list/shanghai-based-investors?ref=Excel_OtherLists","239 Shanghai Based Investors")</f>
        <v>239 Shanghai Based Investors</v>
      </c>
    </row>
    <row r="48" spans="1:1">
      <c r="A48" s="2" t="str">
        <f>HYPERLINK("https://investorlist.com/list/beijing-based-investors?ref=Excel_OtherLists","301 Beijing Based Investors")</f>
        <v>301 Beijing Based Investors</v>
      </c>
    </row>
    <row r="49" spans="1:1">
      <c r="A49" s="2" t="str">
        <f>HYPERLINK("https://investorlist.com/list/osaka-based-investors?ref=Excel_OtherLists","12 Osaka Based Investors")</f>
        <v>12 Osaka Based Investors</v>
      </c>
    </row>
    <row r="50" spans="1:1">
      <c r="A50" s="2" t="str">
        <f>HYPERLINK("https://investorlist.com/list/chongqing-based-investors?ref=Excel_OtherLists","3 Chongqing Based Investors")</f>
        <v>3 Chongqing Based Investors</v>
      </c>
    </row>
    <row r="51" spans="1:1">
      <c r="A51" s="2" t="str">
        <f>HYPERLINK("https://investorlist.com/list/uganda-investors?ref=Excel_OtherLists","95 Uganda Investors")</f>
        <v>95 Uganda Investors</v>
      </c>
    </row>
    <row r="52" spans="1:1">
      <c r="A52" s="2" t="str">
        <f>HYPERLINK("https://investorlist.com/list/kenya-investors?ref=Excel_OtherLists","78 Kenya Investors")</f>
        <v>78 Kenya Investors</v>
      </c>
    </row>
    <row r="53" spans="1:1">
      <c r="A53" s="2" t="str">
        <f>HYPERLINK("https://investorlist.com/list/ghana-based-investors?ref=Excel_OtherLists","34 Ghana Based Investors")</f>
        <v>34 Ghana Based Investors</v>
      </c>
    </row>
    <row r="54" spans="1:1">
      <c r="A54" s="2" t="str">
        <f>HYPERLINK("https://investorlist.com/list/indonesian-investors?ref=Excel_OtherLists","79 Indonesian Investors")</f>
        <v>79 Indonesian Investors</v>
      </c>
    </row>
    <row r="55" spans="1:1">
      <c r="A55" s="2" t="str">
        <f>HYPERLINK("https://investorlist.com/list/bangladesh-based-investors?ref=Excel_OtherLists","30 Bangladesh Based Investors")</f>
        <v>30 Bangladesh Based Investors</v>
      </c>
    </row>
    <row r="56" spans="1:1">
      <c r="A56" s="2" t="str">
        <f>HYPERLINK("https://investorlist.com/list/algerian-investors?ref=Excel_OtherLists","318 Algerian Investors")</f>
        <v>318 Algerian Investors</v>
      </c>
    </row>
    <row r="57" spans="1:1">
      <c r="A57" s="2" t="str">
        <f>HYPERLINK("https://investorlist.com/list/malawi-investors?ref=Excel_OtherLists","244 Malawi Investors")</f>
        <v>244 Malawi Investors</v>
      </c>
    </row>
    <row r="58" spans="1:1">
      <c r="A58" s="2" t="str">
        <f>HYPERLINK("https://investorlist.com/list/mena-investors?ref=Excel_OtherLists","1,226 MENA Investors")</f>
        <v>1,226 MENA Investors</v>
      </c>
    </row>
    <row r="59" spans="1:1">
      <c r="A59" s="2" t="str">
        <f>HYPERLINK("https://investorlist.com/list/investors-focused-on-uae?ref=Excel_OtherLists","2,207 Investors Focused on UAE")</f>
        <v>2,207 Investors Focused on UAE</v>
      </c>
    </row>
    <row r="60" spans="1:1">
      <c r="A60" s="2" t="str">
        <f>HYPERLINK("https://investorlist.com/list/investors-focused-on-uganda?ref=Excel_OtherLists","526 Investors Focused on Uganda")</f>
        <v>526 Investors Focused on Uganda</v>
      </c>
    </row>
    <row r="61" spans="1:1">
      <c r="A61" s="2" t="str">
        <f>HYPERLINK("https://investorlist.com/list/investors-focused-on-south-sudan?ref=Excel_OtherLists","283 Investors Focused on South Sudan")</f>
        <v>283 Investors Focused on South Sudan</v>
      </c>
    </row>
    <row r="62" spans="1:1">
      <c r="A62" s="2" t="str">
        <f>HYPERLINK("https://investorlist.com/list/investors-focused-on-rwanda?ref=Excel_OtherLists","283 Investors Focused on Rwanda")</f>
        <v>283 Investors Focused on Rwanda</v>
      </c>
    </row>
    <row r="63" spans="1:1">
      <c r="A63" s="2" t="str">
        <f>HYPERLINK("https://investorlist.com/list/investors-focused-on-ghana?ref=Excel_OtherLists","466 Investors Focused on Ghana")</f>
        <v>466 Investors Focused on Ghana</v>
      </c>
    </row>
    <row r="64" spans="1:1">
      <c r="A64" s="2" t="str">
        <f>HYPERLINK("https://investorlist.com/list/investors-focused-on-nepal?ref=Excel_OtherLists","261 Investors Focused on Nepal")</f>
        <v>261 Investors Focused on Nepal</v>
      </c>
    </row>
    <row r="65" spans="1:1">
      <c r="A65" s="2" t="str">
        <f>HYPERLINK("https://investorlist.com/list/investors-focused-on-cameroon?ref=Excel_OtherLists","238 Investors Focused on Cameroon")</f>
        <v>238 Investors Focused on Cameroon</v>
      </c>
    </row>
    <row r="66" spans="1:1">
      <c r="A66" s="2" t="str">
        <f>HYPERLINK("https://investorlist.com/list/investors-focused-on-portugal?ref=Excel_OtherLists","1,516 Investors Focused on Portugal")</f>
        <v>1,516 Investors Focused on Portugal</v>
      </c>
    </row>
    <row r="67" spans="1:1">
      <c r="A67" s="2" t="str">
        <f>HYPERLINK("https://investorlist.com/list/investors-focused-on-mali?ref=Excel_OtherLists","336 Investors Focused on Mali")</f>
        <v>336 Investors Focused on Mali</v>
      </c>
    </row>
    <row r="68" spans="1:1">
      <c r="A68" s="2" t="str">
        <f>HYPERLINK("https://investorlist.com/list/investors-focused-on-the-us?ref=Excel_OtherLists","16,932 Investors Focused on the US")</f>
        <v>16,932 Investors Focused on the US</v>
      </c>
    </row>
    <row r="69" spans="1:1">
      <c r="A69" s="2" t="str">
        <f>HYPERLINK("https://investorlist.com/list/new-york-based-investors?ref=Excel_OtherLists","2,383 New York based Investors")</f>
        <v>2,383 New York based Investors</v>
      </c>
    </row>
    <row r="70" spans="1:1">
      <c r="A70" s="2" t="str">
        <f>HYPERLINK("https://investorlist.com/list/los-angeles-based-investors?ref=Excel_OtherLists","300 Los Angeles Based Investors")</f>
        <v>300 Los Angeles Based Investors</v>
      </c>
    </row>
    <row r="71" spans="1:1">
      <c r="A71" s="2" t="str">
        <f>HYPERLINK("https://investorlist.com/list/california-based-investors?ref=Excel_OtherLists","3,105 California Based Investors")</f>
        <v>3,105 California Based Investors</v>
      </c>
    </row>
    <row r="72" spans="1:1">
      <c r="A72" s="2" t="str">
        <f>HYPERLINK("https://investorlist.com/list/investors-focused-on-kenya?ref=Excel_OtherLists","830 Investors Focused on Kenya")</f>
        <v>830 Investors Focused on Kenya</v>
      </c>
    </row>
    <row r="73" spans="1:1">
      <c r="A73" s="2" t="str">
        <f>HYPERLINK("https://investorlist.com/list/investors-focused-on-bangladesh?ref=Excel_OtherLists","426 Investors Focused on Bangladesh")</f>
        <v>426 Investors Focused on Bangladesh</v>
      </c>
    </row>
    <row r="74" spans="1:1">
      <c r="A74" s="2" t="str">
        <f>HYPERLINK("https://investorlist.com/list/investors-focused-on-zambia?ref=Excel_OtherLists","321 Investors Focused on Zambia")</f>
        <v>321 Investors Focused on Zambia</v>
      </c>
    </row>
    <row r="75" spans="1:1">
      <c r="A75" s="2" t="str">
        <f>HYPERLINK("https://investorlist.com/list/investors-focused-on-south-africa?ref=Excel_OtherLists","2,750 Investors Focused on South Africa")</f>
        <v>2,750 Investors Focused on South Africa</v>
      </c>
    </row>
    <row r="76" spans="1:1">
      <c r="A76" s="2" t="str">
        <f>HYPERLINK("https://investorlist.com/list/investors-focused-on-tanzania?ref=Excel_OtherLists","443 Investors Focused on Tanzania")</f>
        <v>443 Investors Focused on Tanzania</v>
      </c>
    </row>
    <row r="77" spans="1:1">
      <c r="A77" s="2" t="str">
        <f>HYPERLINK("https://investorlist.com/list/investors-focused-on-egypt?ref=Excel_OtherLists","1,051 Investors Focused on Egypt")</f>
        <v>1,051 Investors Focused on Egypt</v>
      </c>
    </row>
    <row r="78" spans="1:1">
      <c r="A78" s="2" t="str">
        <f>HYPERLINK("https://investorlist.com/list/investors-focused-on-zimbabwe?ref=Excel_OtherLists","259 Investors Focused on Zimbabwe")</f>
        <v>259 Investors Focused on Zimbabwe</v>
      </c>
    </row>
    <row r="79" spans="1:1">
      <c r="A79" s="2" t="str">
        <f>HYPERLINK("https://investorlist.com/list/investors-focused-on-the-philippines?ref=Excel_OtherLists","954 Investors Focused on the Philippines")</f>
        <v>954 Investors Focused on the Philippines</v>
      </c>
    </row>
    <row r="80" spans="1:1">
      <c r="A80" s="2" t="str">
        <f>HYPERLINK("https://investorlist.com/list/investors-focused-on-tunisia?ref=Excel_OtherLists","304 Investors Focused on Tunisia")</f>
        <v>304 Investors Focused on Tunisia</v>
      </c>
    </row>
    <row r="81" spans="1:1">
      <c r="A81" s="2" t="str">
        <f>HYPERLINK("https://investorlist.com/list/investors-focused-on-sri-lanka?ref=Excel_OtherLists","303 Investors Focused on Sri Lanka")</f>
        <v>303 Investors Focused on Sri Lanka</v>
      </c>
    </row>
    <row r="82" spans="1:1">
      <c r="A82" s="2" t="str">
        <f>HYPERLINK("https://investorlist.com/list/investors-focused-on-ethiopia?ref=Excel_OtherLists","357 Investors Focused on Ethiopia")</f>
        <v>357 Investors Focused on Ethiopia</v>
      </c>
    </row>
    <row r="83" spans="1:1">
      <c r="A83" s="2" t="str">
        <f>HYPERLINK("https://investorlist.com/list/investors-focused-on-botswana?ref=Excel_OtherLists","173 Investors Focused on Botswana")</f>
        <v>173 Investors Focused on Botswana</v>
      </c>
    </row>
    <row r="84" spans="1:1">
      <c r="A84" s="2" t="str">
        <f>HYPERLINK("https://investorlist.com/list/investors-focused-on-turkey?ref=Excel_OtherLists","1,007 Investors Focused on Turkey")</f>
        <v>1,007 Investors Focused on Turkey</v>
      </c>
    </row>
    <row r="85" spans="1:1">
      <c r="A85" s="2" t="str">
        <f>HYPERLINK("https://investorlist.com/list/investors-focused-on-senegal?ref=Excel_OtherLists","210 Investors Focused on Senegal")</f>
        <v>210 Investors Focused on Senegal</v>
      </c>
    </row>
    <row r="86" spans="1:1">
      <c r="A86" s="2" t="str">
        <f>HYPERLINK("https://investorlist.com/list/investors-focused-on-malawi?ref=Excel_OtherLists","261 Investors Focused on Malawi")</f>
        <v>261 Investors Focused on Malawi</v>
      </c>
    </row>
    <row r="87" spans="1:1">
      <c r="A87" s="2" t="str">
        <f>HYPERLINK("https://investorlist.com/list/investors-focused-on-morocco?ref=Excel_OtherLists","439 Investors Focused on Morocco")</f>
        <v>439 Investors Focused on Morocco</v>
      </c>
    </row>
    <row r="88" spans="1:1">
      <c r="A88" s="2" t="str">
        <f>HYPERLINK("https://investorlist.com/list/investors-focused-on-papua-new-guinea?ref=Excel_OtherLists","40 Investors Focused on Papua New Guinea")</f>
        <v>40 Investors Focused on Papua New Guinea</v>
      </c>
    </row>
    <row r="89" spans="1:1">
      <c r="A89" s="2" t="str">
        <f>HYPERLINK("https://investorlist.com/list/investors-focused-on-spain?ref=Excel_OtherLists","3,879 Investors Focused on Spain")</f>
        <v>3,879 Investors Focused on Spain</v>
      </c>
    </row>
    <row r="90" spans="1:1">
      <c r="A90" s="2" t="str">
        <f>HYPERLINK("https://investorlist.com/list/investors-focused-on-france?ref=Excel_OtherLists","5,470 Investors Focused on France")</f>
        <v>5,470 Investors Focused on France</v>
      </c>
    </row>
    <row r="91" spans="1:1">
      <c r="A91" s="2" t="str">
        <f>HYPERLINK("https://investorlist.com/list/investors-focused-on-australia?ref=Excel_OtherLists","4,235 Investors Focused on Australia")</f>
        <v>4,235 Investors Focused on Australia</v>
      </c>
    </row>
    <row r="92" spans="1:1">
      <c r="A92" s="2" t="str">
        <f>HYPERLINK("https://investorlist.com/list/investors-focused-on-germany?ref=Excel_OtherLists","6,095 Investors Focused on Germany")</f>
        <v>6,095 Investors Focused on Germany</v>
      </c>
    </row>
    <row r="93" spans="1:1">
      <c r="A93" s="2" t="str">
        <f>HYPERLINK("https://investorlist.com/list/investors-focused-on-israel?ref=Excel_OtherLists","1,664 Investors Focused on Israel")</f>
        <v>1,664 Investors Focused on Israel</v>
      </c>
    </row>
    <row r="94" spans="1:1">
      <c r="A94" s="2" t="str">
        <f>HYPERLINK("https://investorlist.com/list/investors-focused-on-singapore?ref=Excel_OtherLists","3,511 Investors Focused on Singapore")</f>
        <v>3,511 Investors Focused on Singapore</v>
      </c>
    </row>
    <row r="95" spans="1:1">
      <c r="A95" s="2" t="str">
        <f>HYPERLINK("https://investorlist.com/list/investors-focused-on-namibia?ref=Excel_OtherLists","167 Investors Focused on Namibia")</f>
        <v>167 Investors Focused on Namibia</v>
      </c>
    </row>
    <row r="96" spans="1:1">
      <c r="A96" s="2" t="str">
        <f>HYPERLINK("https://investorlist.com/list/investors-focused-on-canada?ref=Excel_OtherLists","4,593 Investors Focused on Canada")</f>
        <v>4,593 Investors Focused on Canada</v>
      </c>
    </row>
    <row r="97" spans="1:1">
      <c r="A97" s="2" t="str">
        <f>HYPERLINK("https://investorlist.com/list/investors-focused-on-congo?ref=Excel_OtherLists","169 Investors Focused on Congo")</f>
        <v>169 Investors Focused on Congo</v>
      </c>
    </row>
    <row r="98" spans="1:1">
      <c r="A98" s="2" t="str">
        <f>HYPERLINK("https://investorlist.com/list/investors-focused-on-malaysia?ref=Excel_OtherLists","1,238 Investors Focused on Malaysia")</f>
        <v>1,238 Investors Focused on Malaysia</v>
      </c>
    </row>
    <row r="99" spans="1:1">
      <c r="A99" s="2" t="str">
        <f>HYPERLINK("https://investorlist.com/list/investors-focused-on-nepal?ref=Excel_OtherLists","261 Investors Focused on Nepal")</f>
        <v>261 Investors Focused on Nepal</v>
      </c>
    </row>
    <row r="100" spans="1:1">
      <c r="A100" s="2" t="str">
        <f>HYPERLINK("https://investorlist.com/list/investors-focused-on-mozambique?ref=Excel_OtherLists","323 Investors Focused on Mozambique")</f>
        <v>323 Investors Focused on Mozambique</v>
      </c>
    </row>
    <row r="101" spans="1:1">
      <c r="A101" s="2" t="str">
        <f>HYPERLINK("https://investorlist.com/list/investors-focused-on-angola?ref=Excel_OtherLists","281 Investors Focused on Angola")</f>
        <v>281 Investors Focused on Angola</v>
      </c>
    </row>
    <row r="102" spans="1:1">
      <c r="A102" s="2" t="str">
        <f>HYPERLINK("https://investorlist.com/list/investors-focused-on-mauritius?ref=Excel_OtherLists","192 Investors Focused on Mauritius")</f>
        <v>192 Investors Focused on Mauritius</v>
      </c>
    </row>
    <row r="103" spans="1:1">
      <c r="A103" s="2" t="str">
        <f>HYPERLINK("https://investorlist.com/list/investors-focused-on-jordan?ref=Excel_OtherLists","368 Investors Focused on Jordan")</f>
        <v>368 Investors Focused on Jordan</v>
      </c>
    </row>
    <row r="104" spans="1:1">
      <c r="A104" s="2" t="str">
        <f>HYPERLINK("https://investorlist.com/list/investors-focused-on-mexico?ref=Excel_OtherLists","3,145 Investors Focused on Mexico")</f>
        <v>3,145 Investors Focused on Mexico</v>
      </c>
    </row>
    <row r="105" spans="1:1">
      <c r="A105" s="2" t="str">
        <f>HYPERLINK("https://investorlist.com/list/investors-focused-on-argentina?ref=Excel_OtherLists","1,090 Investors Focused on Argentina")</f>
        <v>1,090 Investors Focused on Argentina</v>
      </c>
    </row>
    <row r="106" spans="1:1">
      <c r="A106" s="2" t="str">
        <f>HYPERLINK("https://investorlist.com/list/investors-focused-on-the-netherlands?ref=Excel_OtherLists","3,722 Investors Focused on the Netherlands")</f>
        <v>3,722 Investors Focused on the Netherlands</v>
      </c>
    </row>
    <row r="107" spans="1:1">
      <c r="A107" s="2" t="str">
        <f>HYPERLINK("https://investorlist.com/list/investors-focused-on-brazil?ref=Excel_OtherLists","3,374 Investors Focused on Brazil")</f>
        <v>3,374 Investors Focused on Brazil</v>
      </c>
    </row>
    <row r="108" spans="1:1">
      <c r="A108" s="2" t="str">
        <f>HYPERLINK("https://investorlist.com/list/investors-focused-on-sierra-leone?ref=Excel_OtherLists","99 Investors Focused on Sierra Leone")</f>
        <v>99 Investors Focused on Sierra Leone</v>
      </c>
    </row>
    <row r="109" spans="1:1">
      <c r="A109" s="2" t="str">
        <f>HYPERLINK("https://investorlist.com/list/investors-focused-on-switzerland?ref=Excel_OtherLists","3,168 Investors Focused on Switzerland")</f>
        <v>3,168 Investors Focused on Switzerland</v>
      </c>
    </row>
    <row r="110" spans="1:1">
      <c r="A110" s="2" t="str">
        <f>HYPERLINK("https://investorlist.com/list/investors-focused-on-saudi-arabia?ref=Excel_OtherLists","1,601 Investors Focused on Saudi Arabia")</f>
        <v>1,601 Investors Focused on Saudi Arabia</v>
      </c>
    </row>
    <row r="111" spans="1:1">
      <c r="A111" s="2" t="str">
        <f>HYPERLINK("https://investorlist.com/list/investors-focused-on-poland?ref=Excel_OtherLists","2,227 Investors Focused on Poland")</f>
        <v>2,227 Investors Focused on Poland</v>
      </c>
    </row>
    <row r="112" spans="1:1">
      <c r="A112" s="2" t="str">
        <f>HYPERLINK("https://investorlist.com/list/investors-focused-on-new-zealand?ref=Excel_OtherLists","1,153 Investors Focused on New Zealand")</f>
        <v>1,153 Investors Focused on New Zealand</v>
      </c>
    </row>
    <row r="113" spans="1:1">
      <c r="A113" s="2" t="str">
        <f>HYPERLINK("https://investorlist.com/list/investors-focused-on-azerbaijan?ref=Excel_OtherLists","89 Investors Focused on Azerbaijan")</f>
        <v>89 Investors Focused on Azerbaijan</v>
      </c>
    </row>
    <row r="114" spans="1:1">
      <c r="A114" s="2" t="str">
        <f>HYPERLINK("https://investorlist.com/list/investors-focused-on-colombia?ref=Excel_OtherLists","807 Investors Focused on Colombia")</f>
        <v>807 Investors Focused on Colombia</v>
      </c>
    </row>
    <row r="115" spans="1:1">
      <c r="A115" s="2" t="str">
        <f>HYPERLINK("https://investorlist.com/list/investors-focused-on-qatar?ref=Excel_OtherLists","396 Investors Focused on Qatar")</f>
        <v>396 Investors Focused on Qatar</v>
      </c>
    </row>
    <row r="116" spans="1:1">
      <c r="A116" s="2" t="str">
        <f>HYPERLINK("https://investorlist.com/list/investors-focused-on-estonia?ref=Excel_OtherLists","485 Investors Focused on Estonia")</f>
        <v>485 Investors Focused on Estonia</v>
      </c>
    </row>
    <row r="117" spans="1:1">
      <c r="A117" s="2" t="str">
        <f>HYPERLINK("https://investorlist.com/list/investors-focused-on-lebanon?ref=Excel_OtherLists","337 Investors Focused on Lebanon")</f>
        <v>337 Investors Focused on Lebanon</v>
      </c>
    </row>
    <row r="118" spans="1:1">
      <c r="A118" s="2" t="str">
        <f>HYPERLINK("https://investorlist.com/list/investors-focused-on-finland?ref=Excel_OtherLists","2,761 Investors Focused on Finland")</f>
        <v>2,761 Investors Focused on Finland</v>
      </c>
    </row>
    <row r="119" spans="1:1">
      <c r="A119" s="2" t="str">
        <f>HYPERLINK("https://investorlist.com/list/investors-focused-on-liberia?ref=Excel_OtherLists","78 Investors Focused on Liberia")</f>
        <v>78 Investors Focused on Liberia</v>
      </c>
    </row>
    <row r="120" spans="1:1">
      <c r="A120" s="2" t="str">
        <f>HYPERLINK("https://investorlist.com/list/investors-focused-on-benin?ref=Excel_OtherLists","80 Investors Focused on Benin")</f>
        <v>80 Investors Focused on Benin</v>
      </c>
    </row>
    <row r="121" spans="1:1">
      <c r="A121" s="2" t="str">
        <f>HYPERLINK("https://investorlist.com/list/investors-focused-on-armenia?ref=Excel_OtherLists","95 Investors Focused on Armenia")</f>
        <v>95 Investors Focused on Armenia</v>
      </c>
    </row>
    <row r="122" spans="1:1">
      <c r="A122" s="2" t="str">
        <f>HYPERLINK("https://investorlist.com/list/investors-focused-on-lesotho?ref=Excel_OtherLists","108 Investors Focused on Lesotho")</f>
        <v>108 Investors Focused on Lesotho</v>
      </c>
    </row>
    <row r="123" spans="1:1">
      <c r="A123" s="2" t="str">
        <f>HYPERLINK("https://investorlist.com/list/investors-focused-on-italy?ref=Excel_OtherLists","3,698 Investors Focused on Italy")</f>
        <v>3,698 Investors Focused on Italy</v>
      </c>
    </row>
    <row r="124" spans="1:1">
      <c r="A124" s="2" t="str">
        <f>HYPERLINK("https://investorlist.com/list/investors-focused-on-bulgaria?ref=Excel_OtherLists","648 Investors Focused on Bulgaria")</f>
        <v>648 Investors Focused on Bulgaria</v>
      </c>
    </row>
    <row r="125" spans="1:1">
      <c r="A125" s="2" t="str">
        <f>HYPERLINK("https://investorlist.com/list/investors-focused-on-thailand?ref=Excel_OtherLists","1,056 Investors Focused on Thailand")</f>
        <v>1,056 Investors Focused on Thailand</v>
      </c>
    </row>
    <row r="126" spans="1:1">
      <c r="A126" s="2" t="str">
        <f>HYPERLINK("https://investorlist.com/list/kinshasa-based-investors?ref=Excel_OtherLists","1 Kinshasa Based Investors")</f>
        <v>1 Kinshasa Based Investors</v>
      </c>
    </row>
    <row r="127" spans="1:1">
      <c r="A127" s="2" t="str">
        <f>HYPERLINK("https://investorlist.com/list/fintech-investors-in-dubai?ref=Excel_OtherLists","58 Fintech Investors in Dubai")</f>
        <v>58 Fintech Investors in Dubai</v>
      </c>
    </row>
    <row r="128" spans="1:1">
      <c r="A128" s="2" t="str">
        <f>HYPERLINK("https://investorlist.com/list/fintech-investors-in-india?ref=Excel_OtherLists","221 Fintech Investors in India")</f>
        <v>221 Fintech Investors in India</v>
      </c>
    </row>
    <row r="129" spans="1:1">
      <c r="A129" s="2" t="str">
        <f>HYPERLINK("https://investorlist.com/list/foreign-investors-that-invest-in-india?ref=Excel_OtherLists","3,274 Foreign Investors that Invest in India")</f>
        <v>3,274 Foreign Investors that Invest in India</v>
      </c>
    </row>
    <row r="130" spans="1:1">
      <c r="A130" s="2" t="str">
        <f>HYPERLINK("https://investorlist.com/list/investors-focused-on-nigeria?ref=Excel_OtherLists","932 Investors Focused on Nigeria")</f>
        <v>932 Investors Focused on Nigeria</v>
      </c>
    </row>
    <row r="131" spans="1:1">
      <c r="A131" s="2" t="str">
        <f>HYPERLINK("https://investorlist.com/list/investors-focused-on-indonesia?ref=Excel_OtherLists","1,193 Investors Focused on Indonesia")</f>
        <v>1,193 Investors Focused on Indonesia</v>
      </c>
    </row>
    <row r="132" spans="1:1">
      <c r="A132" s="2" t="str">
        <f>HYPERLINK("https://investorlist.com/list/silicon-valley-investors?ref=Excel_OtherLists","638 Silicon Valley Investors")</f>
        <v>638 Silicon Valley Investors</v>
      </c>
    </row>
    <row r="133" spans="1:1">
      <c r="A133" s="2" t="str">
        <f>HYPERLINK("https://investorlist.com/list/indian-angel-investors?ref=Excel_OtherLists","108 Indian Angel Investors")</f>
        <v>108 Indian Angel Investors</v>
      </c>
    </row>
    <row r="134" spans="1:1">
      <c r="A134" s="2" t="str">
        <f>HYPERLINK("https://investorlist.com/list/real-estate-investors-in-dubai?ref=Excel_OtherLists","175 Dubai Real Estate Investors")</f>
        <v>175 Dubai Real Estate Investors</v>
      </c>
    </row>
    <row r="135" spans="1:1">
      <c r="A135" s="2" t="str">
        <f>HYPERLINK("https://investorlist.com/list/crypto-investors?ref=Excel_OtherLists","1,360 Crypto Investors (Globally)")</f>
        <v>1,360 Crypto Investors (Globally)</v>
      </c>
    </row>
    <row r="136" spans="1:1">
      <c r="A136" s="2" t="str">
        <f>HYPERLINK("https://investorlist.com/list/healthcare-investors?ref=Excel_OtherLists","7,276 Healthcare Investors")</f>
        <v>7,276 Healthcare Investors</v>
      </c>
    </row>
    <row r="137" spans="1:1">
      <c r="A137" s="2" t="str">
        <f>HYPERLINK("https://investorlist.com/list/agriculture-investors?ref=Excel_OtherLists","2,502 Agriculture Investors")</f>
        <v>2,502 Agriculture Investors</v>
      </c>
    </row>
    <row r="138" spans="1:1">
      <c r="A138" s="2" t="str">
        <f>HYPERLINK("https://investorlist.com/list/artificial-intelligence-investors?ref=Excel_OtherLists","2,740 Artificial Intelligence Investors")</f>
        <v>2,740 Artificial Intelligence Investors</v>
      </c>
    </row>
    <row r="139" spans="1:1">
      <c r="A139" s="2" t="str">
        <f>HYPERLINK("https://investorlist.com/list/marketplace-investors?ref=Excel_OtherLists","284 Marketplace Investors")</f>
        <v>284 Marketplace Investors</v>
      </c>
    </row>
    <row r="140" spans="1:1">
      <c r="A140" s="2" t="str">
        <f>HYPERLINK("https://investorlist.com/list/blockchain-investors?ref=Excel_OtherLists","1,128 Blockchain Investors")</f>
        <v>1,128 Blockchain Investors</v>
      </c>
    </row>
    <row r="141" spans="1:1">
      <c r="A141" s="2" t="str">
        <f>HYPERLINK("https://investorlist.com/list/video-game-investors?ref=Excel_OtherLists","28 Video Game Investors")</f>
        <v>28 Video Game Investors</v>
      </c>
    </row>
    <row r="142" spans="1:1">
      <c r="A142" s="2" t="str">
        <f>HYPERLINK("https://investorlist.com/list/hotel-investors?ref=Excel_OtherLists","212 Hotel Investors")</f>
        <v>212 Hotel Investors</v>
      </c>
    </row>
    <row r="143" spans="1:1">
      <c r="A143" s="2" t="str">
        <f>HYPERLINK("https://investorlist.com/list/saas-investors?ref=Excel_OtherLists","1,316 SaaS Investors")</f>
        <v>1,316 SaaS Investors</v>
      </c>
    </row>
    <row r="144" spans="1:1">
      <c r="A144" s="2" t="str">
        <f>HYPERLINK("https://investorlist.com/list/climatetech-investors?ref=Excel_OtherLists","627 ClimateTech Investors")</f>
        <v>627 ClimateTech Investors</v>
      </c>
    </row>
    <row r="145" spans="1:1">
      <c r="A145" s="2" t="str">
        <f>HYPERLINK("https://investorlist.com/list/proptech-investors?ref=Excel_OtherLists","387 PropTech Investors")</f>
        <v>387 PropTech Investors</v>
      </c>
    </row>
    <row r="146" spans="1:1">
      <c r="A146" s="2" t="str">
        <f>HYPERLINK("https://investorlist.com/list/food-and-beverage-investors?ref=Excel_OtherLists","544 Food and Beverage Investors")</f>
        <v>544 Food and Beverage Investors</v>
      </c>
    </row>
    <row r="147" spans="1:1">
      <c r="A147" s="2" t="str">
        <f>HYPERLINK("https://investorlist.com/list/seed-and-pre-seed-investors-in-the-gcc-region?ref=Excel_OtherLists","406 Seed and Pre Seed Investors in the GCC Region")</f>
        <v>406 Seed and Pre Seed Investors in the GCC Region</v>
      </c>
    </row>
    <row r="148" spans="1:1">
      <c r="A148" s="2" t="str">
        <f>HYPERLINK("https://investorlist.com/list/fashion-investors-in-new-york?ref=Excel_OtherLists","38 Fashion Investors in New York")</f>
        <v>38 Fashion Investors in New York</v>
      </c>
    </row>
    <row r="149" spans="1:1">
      <c r="A149" s="2" t="str">
        <f>HYPERLINK("https://investorlist.com/list/indian-healthcare-investors?ref=Excel_OtherLists","2,102 Indian Healthcare Investors")</f>
        <v>2,102 Indian Healthcare Investors</v>
      </c>
    </row>
    <row r="150" spans="1:1">
      <c r="A150" s="2" t="str">
        <f>HYPERLINK("https://investorlist.com/list/indian-startup-investors?ref=Excel_OtherLists","746 Indian Startup Investors")</f>
        <v>746 Indian Startup Investors</v>
      </c>
    </row>
    <row r="151" spans="1:1">
      <c r="A151" s="2" t="str">
        <f>HYPERLINK("https://investorlist.com/list/indian-saas-investors?ref=Excel_OtherLists","209 Indian SaaS Investors")</f>
        <v>209 Indian SaaS Investors</v>
      </c>
    </row>
    <row r="152" spans="1:1">
      <c r="A152" s="2" t="str">
        <f>HYPERLINK("https://investorlist.com/list/indian-artificial-intelligence-investors?ref=Excel_OtherLists","424 Indian Artificial Intelligence Investors")</f>
        <v>424 Indian Artificial Intelligence Investors</v>
      </c>
    </row>
    <row r="153" spans="1:1">
      <c r="A153" s="2" t="str">
        <f>HYPERLINK("https://investorlist.com/list/indian-cybersecurity-investors?ref=Excel_OtherLists","188 Indian Cybersecurity Investors")</f>
        <v>188 Indian Cybersecurity Investors</v>
      </c>
    </row>
    <row r="154" spans="1:1">
      <c r="A154" s="2" t="str">
        <f>HYPERLINK("https://investorlist.com/list/indian-hospitality-investors?ref=Excel_OtherLists","466 Indian Hospitality Investors")</f>
        <v>466 Indian Hospitality Investors</v>
      </c>
    </row>
    <row r="155" spans="1:1">
      <c r="A155" s="2" t="str">
        <f>HYPERLINK("https://investorlist.com/list/indian-agriculture-investors?ref=Excel_OtherLists","903 Indian Agriculture Investors")</f>
        <v>903 Indian Agriculture Investors</v>
      </c>
    </row>
    <row r="156" spans="1:1">
      <c r="A156" s="2" t="str">
        <f>HYPERLINK("https://investorlist.com/list/indian-retail-investors?ref=Excel_OtherLists","1,029 Indian Retail Investors")</f>
        <v>1,029 Indian Retail Investors</v>
      </c>
    </row>
    <row r="157" spans="1:1">
      <c r="A157" s="2" t="str">
        <f>HYPERLINK("https://investorlist.com/list/indian-technology-investors?ref=Excel_OtherLists","3,242 Indian Technology Investors")</f>
        <v>3,242 Indian Technology Investors</v>
      </c>
    </row>
    <row r="158" spans="1:1">
      <c r="A158" s="2" t="str">
        <f>HYPERLINK("https://investorlist.com/list/saas-investors-based-in-new-york?ref=Excel_OtherLists","97 SaaS Investors based in New York")</f>
        <v>97 SaaS Investors based in New York</v>
      </c>
    </row>
    <row r="159" spans="1:1">
      <c r="A159" s="2" t="str">
        <f>HYPERLINK("https://investorlist.com/list/startup-investors-globally?ref=Excel_OtherLists","18,235 Startup Investors (Globally)")</f>
        <v>18,235 Startup Investors (Globally)</v>
      </c>
    </row>
    <row r="160" spans="1:1">
      <c r="A160" s="2" t="str">
        <f>HYPERLINK("https://investorlist.com/list/edtech-investors?ref=Excel_OtherLists","1,074 EdTech Investors")</f>
        <v>1,074 EdTech Investors</v>
      </c>
    </row>
    <row r="161" spans="1:1">
      <c r="A161" s="2" t="str">
        <f>HYPERLINK("https://investorlist.com/list/startup-investors-in-the-us?ref=Excel_OtherLists","7,638 Startup Investors in the US")</f>
        <v>7,638 Startup Investors in the US</v>
      </c>
    </row>
    <row r="162" spans="1:1">
      <c r="A162" s="2" t="str">
        <f>HYPERLINK("https://investorlist.com/list/european-startup-investors?ref=Excel_OtherLists","4,463 European Startup Investors")</f>
        <v>4,463 European Startup Investors</v>
      </c>
    </row>
    <row r="163" spans="1:1">
      <c r="A163" s="2" t="str">
        <f>HYPERLINK("https://investorlist.com/list/scandinavian-startup-investors?ref=Excel_OtherLists","604 Scandinavian Startup Investors")</f>
        <v>604 Scandinavian Startup Investors</v>
      </c>
    </row>
    <row r="164" spans="1:1">
      <c r="A164" s="2" t="str">
        <f>HYPERLINK("https://investorlist.com/list/uk-startup-investors?ref=Excel_OtherLists","901 UK Startup Investors")</f>
        <v>901 UK Startup Investors</v>
      </c>
    </row>
    <row r="165" spans="1:1">
      <c r="A165" s="2" t="str">
        <f>HYPERLINK("https://investorlist.com/list/european-artificial-intelligence-investors?ref=Excel_OtherLists","746 European Artificial Intelligence Investors")</f>
        <v>746 European Artificial Intelligence Investors</v>
      </c>
    </row>
    <row r="166" spans="1:1">
      <c r="A166" s="2" t="str">
        <f>HYPERLINK("https://investorlist.com/list/us-artificial-intelligence-investors?ref=Excel_OtherLists","1,326 US Artificial Intelligence Investors")</f>
        <v>1,326 US Artificial Intelligence Investors</v>
      </c>
    </row>
    <row r="167" spans="1:1">
      <c r="A167" s="2" t="str">
        <f>HYPERLINK("https://investorlist.com/list/oil-and-gas-investors?ref=Excel_OtherLists","210 Oil and Gas Investors")</f>
        <v>210 Oil and Gas Investors</v>
      </c>
    </row>
    <row r="168" spans="1:1">
      <c r="A168" s="2" t="str">
        <f>HYPERLINK("https://investorlist.com/list/real-estate-investors-focused-on-the-uae?ref=Excel_OtherLists","835 Real Estate Investors Focused on the UAE")</f>
        <v>835 Real Estate Investors Focused on the UAE</v>
      </c>
    </row>
    <row r="169" spans="1:1">
      <c r="A169" s="2" t="str">
        <f>HYPERLINK("https://investorlist.com/list/new-york-based-real-estate-investors?ref=Excel_OtherLists","637 New York Based Real Estate Investors")</f>
        <v>637 New York Based Real Estate Investors</v>
      </c>
    </row>
    <row r="170" spans="1:1">
      <c r="A170" s="2" t="str">
        <f>HYPERLINK("https://investorlist.com/list/chicago-startup-investors?ref=Excel_OtherLists","205 Chicago Startup Investors")</f>
        <v>205 Chicago Startup Investors</v>
      </c>
    </row>
    <row r="171" spans="1:1">
      <c r="A171" s="2" t="str">
        <f>HYPERLINK("https://investorlist.com/list/houston-startup-investors?ref=Excel_OtherLists","80 Houston Startup Investors")</f>
        <v>80 Houston Startup Investors</v>
      </c>
    </row>
    <row r="172" spans="1:1">
      <c r="A172" s="2" t="str">
        <f>HYPERLINK("https://investorlist.com/list/corporate-vcs-globally?ref=Excel_OtherLists","1,176 Corporate VCs (Globally)")</f>
        <v>1,176 Corporate VCs (Globally)</v>
      </c>
    </row>
    <row r="173" spans="1:1">
      <c r="A173" s="2" t="str">
        <f>HYPERLINK("https://investorlist.com/list/european-angel-investors?ref=Excel_OtherLists","237 European Angel Investors")</f>
        <v>237 European Angel Investors</v>
      </c>
    </row>
    <row r="174" spans="1:1">
      <c r="A174" s="2" t="str">
        <f>HYPERLINK("https://investorlist.com/list/venture-capital-investors?ref=Excel_OtherLists","9,090 Venture Capital Investors")</f>
        <v>9,090 Venture Capital Investors</v>
      </c>
    </row>
    <row r="175" spans="1:1">
      <c r="A175" s="2" t="str">
        <f>HYPERLINK("https://investorlist.com/list/us-based-angel-investors?ref=Excel_OtherLists","447 US Based Angel Investors")</f>
        <v>447 US Based Angel Investors</v>
      </c>
    </row>
    <row r="176" spans="1:1">
      <c r="A176" s="2" t="str">
        <f>HYPERLINK("https://investorlist.com/list/uae-based-private-equity-investors?ref=Excel_OtherLists","65 UAE-Based Private Equity Investors")</f>
        <v>65 UAE-Based Private Equity Investors</v>
      </c>
    </row>
    <row r="177" spans="1:1">
      <c r="A177" s="2" t="str">
        <f>HYPERLINK("https://investorlist.com/list/private-equity-investors-globally?ref=Excel_OtherLists","4,520 Private Equity Investors (Globally)")</f>
        <v>4,520 Private Equity Investors (Globally)</v>
      </c>
    </row>
    <row r="178" spans="1:1">
      <c r="A178" s="2" t="str">
        <f>HYPERLINK("https://investorlist.com/list/list-of-family-offices?ref=Excel_OtherLists","811 Family Offices (Globally)")</f>
        <v>811 Family Offices (Globally)</v>
      </c>
    </row>
    <row r="179" spans="1:1">
      <c r="A179" s="2" t="str">
        <f>HYPERLINK("https://investorlist.com/list/renewable-energy-investors?ref=Excel_OtherLists","757 Renewable Energy Investors")</f>
        <v>757 Renewable Energy Investors</v>
      </c>
    </row>
    <row r="180" spans="1:1">
      <c r="A180" s="2" t="str">
        <f>HYPERLINK("https://investorlist.com/list/charitable-foundations?ref=Excel_OtherLists","79 Charitable Foundations")</f>
        <v>79 Charitable Foundations</v>
      </c>
    </row>
    <row r="181" spans="1:1">
      <c r="A181" s="2" t="str">
        <f>HYPERLINK("https://investorlist.com/list/us-based-family-offices?ref=Excel_OtherLists","362 US Based Family Offices")</f>
        <v>362 US Based Family Offices</v>
      </c>
    </row>
    <row r="182" spans="1:1">
      <c r="A182" s="2" t="str">
        <f>HYPERLINK("https://investorlist.com/list/hedge-funds-globally?ref=Excel_OtherLists","320 Hedge Funds (Globally)")</f>
        <v>320 Hedge Funds (Globally)</v>
      </c>
    </row>
    <row r="183" spans="1:1">
      <c r="A183" s="2" t="str">
        <f>HYPERLINK("https://investorlist.com/list/charitable-foundations-globally?ref=Excel_OtherLists","78 Charitable Foundations (Globally)")</f>
        <v>78 Charitable Foundations (Globally)</v>
      </c>
    </row>
    <row r="184" spans="1:1">
      <c r="A184" s="2" t="str">
        <f>HYPERLINK("https://investorlist.com/list/debt-investors-globally?ref=Excel_OtherLists","75 Debt Investors (Globally)")</f>
        <v>75 Debt Investors (Globally)</v>
      </c>
    </row>
    <row r="185" spans="1:1">
      <c r="A185" s="2" t="str">
        <f>HYPERLINK("https://investorlist.com/list/endowments?ref=Excel_OtherLists","7 Endowments")</f>
        <v>7 Endowments</v>
      </c>
    </row>
    <row r="186" spans="1:1">
      <c r="A186" s="2" t="str">
        <f>HYPERLINK("https://investorlist.com/list/institutional-investors-globally?ref=Excel_OtherLists","966 Institutional Investors (Globally)")</f>
        <v>966 Institutional Investors (Globally)</v>
      </c>
    </row>
    <row r="187" spans="1:1">
      <c r="A187" s="2" t="str">
        <f>HYPERLINK("https://investorlist.com/list/mutual-funds-globally?ref=Excel_OtherLists","207 Mutual Funds (Globally)")</f>
        <v>207 Mutual Funds (Globally)</v>
      </c>
    </row>
    <row r="188" spans="1:1">
      <c r="A188" s="2" t="str">
        <f>HYPERLINK("https://investorlist.com/list/pension-funds-globally?ref=Excel_OtherLists","57 Pension Funds (Globally)")</f>
        <v>57 Pension Funds (Globally)</v>
      </c>
    </row>
    <row r="189" spans="1:1">
      <c r="A189" s="2" t="str">
        <f>HYPERLINK("https://investorlist.com/list/private-investment-firms-globally?ref=Excel_OtherLists","4,478 Private Investment Firms (Globally)")</f>
        <v>4,478 Private Investment Firms (Globally)</v>
      </c>
    </row>
    <row r="190" spans="1:1">
      <c r="A190" s="2" t="str">
        <f>HYPERLINK("https://investorlist.com/list/private-investors-globally?ref=Excel_OtherLists","885 Private Investors (Globally)")</f>
        <v>885 Private Investors (Globally)</v>
      </c>
    </row>
    <row r="191" spans="1:1">
      <c r="A191" s="2" t="str">
        <f>HYPERLINK("https://investorlist.com/list/sovereign-wealth-funds?ref=Excel_OtherLists","131 Sovereign Wealth Funds")</f>
        <v>131 Sovereign Wealth Funds</v>
      </c>
    </row>
    <row r="192" spans="1:1">
      <c r="A192" s="2" t="str">
        <f>HYPERLINK("https://investorlist.com/list/syndicate-investors-globally?ref=Excel_OtherLists","253 Syndicate Investors (Globally)")</f>
        <v>253 Syndicate Investors (Globally)</v>
      </c>
    </row>
    <row r="193" spans="1:1">
      <c r="A193" s="2" t="str">
        <f>HYPERLINK("https://investorlist.com/list/australia-based-investors?ref=Excel_OtherLists","430 Australia Based Investors")</f>
        <v>430 Australia Based Investors</v>
      </c>
    </row>
    <row r="194" spans="1:1">
      <c r="A194" s="2" t="str">
        <f>HYPERLINK("https://investorlist.com/list/african-investors?ref=Excel_OtherLists","760 African Investors")</f>
        <v>760 African Investors</v>
      </c>
    </row>
    <row r="195" spans="1:1">
      <c r="A195" s="2" t="str">
        <f>HYPERLINK("https://investorlist.com/list/angel-investors-globally?ref=Excel_OtherLists","885 Angel Investors (Globally)")</f>
        <v>885 Angel Investors (Globally)</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25 Karachi Based Investors</vt:lpstr>
      <vt:lpstr>Other Investor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SC</cp:lastModifiedBy>
  <cp:revision>0</cp:revision>
  <dcterms:created xsi:type="dcterms:W3CDTF">2026-02-14T18:07:33Z</dcterms:created>
  <dcterms:modified xsi:type="dcterms:W3CDTF">2026-03-08T14:59:11Z</dcterms:modified>
</cp:coreProperties>
</file>